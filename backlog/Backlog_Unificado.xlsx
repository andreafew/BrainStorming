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 unificado" sheetId="1" state="visible" r:id="rId3"/>
    <sheet name="Paridad A y B" sheetId="2" state="visible" r:id="rId4"/>
    <sheet name="Issues del grupo (acción)" sheetId="3" state="visible" r:id="rId5"/>
    <sheet name="Criterios" sheetId="4" state="visible" r:id="rId6"/>
  </sheets>
  <definedNames>
    <definedName function="false" hidden="true" localSheetId="0" name="_xlnm._FilterDatabase" vbProcedure="false">'Backlog unificado'!$A$1:$P$152</definedName>
    <definedName function="false" hidden="true" localSheetId="2" name="_xlnm._FilterDatabase" vbProcedure="false">'Issues del grupo (acción)'!$A$1:$G$44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<sst xmlns="http://schemas.openxmlformats.org/spreadsheetml/2006/main" count="2142" uniqueCount="934">
  <si>
    <t xml:space="preserve">N.º</t>
  </si>
  <si>
    <t xml:space="preserve">Origen</t>
  </si>
  <si>
    <t xml:space="preserve">Título unificado</t>
  </si>
  <si>
    <t xml:space="preserve">Tipo</t>
  </si>
  <si>
    <t xml:space="preserve">Padre (N.º)</t>
  </si>
  <si>
    <t xml:space="preserve">Cliente</t>
  </si>
  <si>
    <t xml:space="preserve">Sprint</t>
  </si>
  <si>
    <t xml:space="preserve">Fecha límite</t>
  </si>
  <si>
    <t xml:space="preserve">SP</t>
  </si>
  <si>
    <t xml:space="preserve">Prioridad</t>
  </si>
  <si>
    <t xml:space="preserve">Estado</t>
  </si>
  <si>
    <t xml:space="preserve">Descripción</t>
  </si>
  <si>
    <t xml:space="preserve">Criterio de aceptación</t>
  </si>
  <si>
    <t xml:space="preserve">Evidencia (archivo)</t>
  </si>
  <si>
    <t xml:space="preserve">Criterio ref.</t>
  </si>
  <si>
    <t xml:space="preserve">Issue del grupo</t>
  </si>
  <si>
    <t xml:space="preserve">Modificado</t>
  </si>
  <si>
    <t xml:space="preserve">Definir recursos del equipo (notebooks de integrantes, máquinas virtuales)</t>
  </si>
  <si>
    <t xml:space="preserve">Tarea</t>
  </si>
  <si>
    <t xml:space="preserve">Equipo</t>
  </si>
  <si>
    <t xml:space="preserve">2026-10-09</t>
  </si>
  <si>
    <t xml:space="preserve">Alta</t>
  </si>
  <si>
    <t xml:space="preserve">Backlog</t>
  </si>
  <si>
    <t xml:space="preserve">Como equipo, necesitamos saber qué máquinas aporta cada integrante (modelo, RAM, disco libre, virtualización) para poder armar las máquinas virtuales donde instalaremos y probaremos Windows 11 y Ubuntu.</t>
  </si>
  <si>
    <t xml:space="preserve">Quién aporta cada máquina, con modelo, RAM y disco libre; virtualización habilitada. Vía A confirmada con notebooks de integrantes de 8 GB de RAM y 40 GB libres verificados.</t>
  </si>
  <si>
    <t xml:space="preserve">evidencia/sprint1/recursos/recursos_notebooks.md</t>
  </si>
  <si>
    <t xml:space="preserve">#1</t>
  </si>
  <si>
    <t xml:space="preserve">Agregado</t>
  </si>
  <si>
    <t xml:space="preserve">Crear repositorio GitHub y Project (tablero)</t>
  </si>
  <si>
    <t xml:space="preserve">Como equipo, necesitamos un repositorio y un tablero (Project) con columnas To Do / In Progress / Done y etiquetas para organizar el trabajo de los cuatro sprints y dejar a la vista el avance.</t>
  </si>
  <si>
    <t xml:space="preserve">Repo creado; Project con columnas To Do / In Progress / Done; etiquetas de tipo, cliente, sprint, puntos y prioridad.</t>
  </si>
  <si>
    <t xml:space="preserve">evidencia/sprint1/repositorio/repositorio_y_tablero.md</t>
  </si>
  <si>
    <t xml:space="preserve">Definir rotación de Product Owner y Scrum Master</t>
  </si>
  <si>
    <t xml:space="preserve">Como equipo, necesitamos definir quién es Product Owner y quién Scrum Master en cada sprint, rotando los roles, para que todos pasen por ambos y la responsabilidad quede repartida.</t>
  </si>
  <si>
    <t xml:space="preserve">Tabla con PO y SM de cada sprint, sin repetir personas; publicada en el README.</t>
  </si>
  <si>
    <t xml:space="preserve">evidencia/sprint1/equipo/003_definir_rotacion_product.md</t>
  </si>
  <si>
    <t xml:space="preserve">Acta de equipo de BrainStorming</t>
  </si>
  <si>
    <t xml:space="preserve">Como equipo, necesitamos un acta con los integrantes, los horarios y las reglas de trabajo de BrainStorming, para que las normas queden acordadas por escrito desde el inicio.</t>
  </si>
  <si>
    <t xml:space="preserve">Acta completa y entregada; incluye integrantes, horarios y reglas de trabajo.</t>
  </si>
  <si>
    <t xml:space="preserve">evidencia/sprint1/equipo/004_acta_equipo_brainstorming.md</t>
  </si>
  <si>
    <t xml:space="preserve">Cargar el backlog en el tablero, ordenado por prioridad</t>
  </si>
  <si>
    <t xml:space="preserve">Como Product Owner, necesito que todo el trabajo del Sprint 1 esté cargado en el tablero y ordenado por prioridad, para que el equipo sepa qué hacer primero.</t>
  </si>
  <si>
    <t xml:space="preserve">Todas las historias y tareas del Sprint 1 cargadas en el Project, ordenadas por prioridad; captura del tablero.</t>
  </si>
  <si>
    <t xml:space="preserve">evidencia/sprint1/tablero/005_cargar_backlog_tablero.md</t>
  </si>
  <si>
    <t xml:space="preserve">Preparar y hacer el cuestionario al Estudio Contable</t>
  </si>
  <si>
    <t xml:space="preserve">A - Estudio</t>
  </si>
  <si>
    <t xml:space="preserve">Como consultora, necesitamos entrevistar al Estudio Contable con un cuestionario preparado, para conocer sus necesidades reales (software, impresoras, usuarios, backup, presupuesto) antes de proponer un sistema operativo.</t>
  </si>
  <si>
    <t xml:space="preserve">Cuestionario respondido (ver preguntas_clientes.md, sección A); respuestas guardadas en /relevamiento.</t>
  </si>
  <si>
    <t xml:space="preserve">evidencia/sprint1/estudio/006_preparar_hacer_cuestionario.md</t>
  </si>
  <si>
    <t xml:space="preserve">Preparar y hacer el cuestionario a la Universidad</t>
  </si>
  <si>
    <t xml:space="preserve">B - Universidad</t>
  </si>
  <si>
    <t xml:space="preserve">Como consultora, necesitamos entrevistar a la Universidad con un cuestionario preparado, para conocer las necesidades del laboratorio (materias, software, alumnos, permisos, restauración) antes de proponer un sistema operativo.</t>
  </si>
  <si>
    <t xml:space="preserve">Cuestionario respondido (ver preguntas_clientes.md, sección B); respuestas guardadas en /relevamiento.</t>
  </si>
  <si>
    <t xml:space="preserve">evidencia/sprint1/universidad/007_preparar_hacer_cuestionario.md</t>
  </si>
  <si>
    <t xml:space="preserve">Existente</t>
  </si>
  <si>
    <t xml:space="preserve">HU-A01 Utilidad y continuidad del software contable</t>
  </si>
  <si>
    <t xml:space="preserve">Historia</t>
  </si>
  <si>
    <t xml:space="preserve">Como dueño o contador del Estudio, necesito que el software contable y de oficina siga funcionando tal como hoy, para no interrumpir el trabajo diario del Estudio.</t>
  </si>
  <si>
    <t xml:space="preserve">Historia con formato 'Como… necesito… para…', criterio medible y método de medición definidos.</t>
  </si>
  <si>
    <t xml:space="preserve">CA-01</t>
  </si>
  <si>
    <t xml:space="preserve">#4</t>
  </si>
  <si>
    <t xml:space="preserve">HU-A02 Funcionalidad completa del sistema contable (Tango)</t>
  </si>
  <si>
    <t xml:space="preserve">Como contador del Estudio, necesito que el sistema contable (Tango, versión supuesta) tenga todas sus funciones disponibles en el sistema nuevo, para seguir liquidando y facturando sin pérdida de funciones.</t>
  </si>
  <si>
    <t xml:space="preserve">#6</t>
  </si>
  <si>
    <t xml:space="preserve">HU-A03 Acceso a correos</t>
  </si>
  <si>
    <t xml:space="preserve">Como empleado del Estudio, necesito leer y enviar correos desde el sistema nuevo, para mantener la comunicación con clientes y organismos.</t>
  </si>
  <si>
    <t xml:space="preserve">#7</t>
  </si>
  <si>
    <t xml:space="preserve">HU-A04 Firma digital</t>
  </si>
  <si>
    <t xml:space="preserve">Como contador del Estudio, necesito poder firmar documentos digitalmente en el sistema nuevo, para presentar trámites sin cambiar la forma de trabajo.</t>
  </si>
  <si>
    <t xml:space="preserve">CA-05</t>
  </si>
  <si>
    <t xml:space="preserve">#8</t>
  </si>
  <si>
    <t xml:space="preserve">HU-A05 Definir costos</t>
  </si>
  <si>
    <t xml:space="preserve">Como dueño del Estudio, necesito conocer el costo de licencias, equipos y soporte de cada opción, para decidir con el presupuesto en la mano.</t>
  </si>
  <si>
    <t xml:space="preserve">CA-02</t>
  </si>
  <si>
    <t xml:space="preserve">#9</t>
  </si>
  <si>
    <t xml:space="preserve">HU-A06 Interfaz intuitiva</t>
  </si>
  <si>
    <t xml:space="preserve">Como empleado del Estudio sin formación técnica, necesito una interfaz que pueda usar sin capacitación larga, para realizar mis tareas habituales sin pedir ayuda constantemente.</t>
  </si>
  <si>
    <t xml:space="preserve">CA-03</t>
  </si>
  <si>
    <t xml:space="preserve">#10</t>
  </si>
  <si>
    <t xml:space="preserve">HU-A07 Soporte técnico</t>
  </si>
  <si>
    <t xml:space="preserve">Como dueño del Estudio, necesito saber qué soporte técnico existe para cada sistema (quién atiende, en cuánto tiempo y a qué costo), para no quedar sin respuesta ante una falla.</t>
  </si>
  <si>
    <t xml:space="preserve">CA-04</t>
  </si>
  <si>
    <t xml:space="preserve">#11</t>
  </si>
  <si>
    <t xml:space="preserve">HU-A08 Encontrar documentos</t>
  </si>
  <si>
    <t xml:space="preserve">Como empleado del Estudio, necesito encontrar rápidamente los documentos de cada cliente, para no perder tiempo buscando archivos.</t>
  </si>
  <si>
    <t xml:space="preserve">#15</t>
  </si>
  <si>
    <t xml:space="preserve">HU-A09 Estabilidad (configuración estándar)</t>
  </si>
  <si>
    <t xml:space="preserve">Como dueño del Estudio, necesito que los equipos tengan una configuración estándar y estable, para evitar cuelgues y que todos trabajen igual.</t>
  </si>
  <si>
    <t xml:space="preserve">CA-06</t>
  </si>
  <si>
    <t xml:space="preserve">#16</t>
  </si>
  <si>
    <t xml:space="preserve">HU-A10 Disponibilidad y backup</t>
  </si>
  <si>
    <t xml:space="preserve">Como dueño del Estudio, necesito que el servidor y los archivos estén disponibles y respaldados con restauración probada, para no perder información contable ante una falla.</t>
  </si>
  <si>
    <t xml:space="preserve">#17</t>
  </si>
  <si>
    <t xml:space="preserve">HU-A11 Software de oficina y herramientas del estudio (equivalente a HU-B11)</t>
  </si>
  <si>
    <t xml:space="preserve">Como equipo del Estudio, necesitamos que Tango (supuesto), las planillas y el correo ejecuten una operación de prueba en Windows 11 y en Ubuntu, para saber qué herramientas de trabajo funcionan en cada sistema (equivalente a la historia de herramientas de programación de la Universidad).</t>
  </si>
  <si>
    <t xml:space="preserve">Tango (supuesto), planillas y correo ejecutando una operación de prueba en ambos sistemas.</t>
  </si>
  <si>
    <t xml:space="preserve">HU-B01 Continuidad de las herramientas de cada materia</t>
  </si>
  <si>
    <t xml:space="preserve">Como docente de la Universidad, necesito que las herramientas de cada materia sigan funcionando en el sistema nuevo, para dictar las clases sin cambios.</t>
  </si>
  <si>
    <t xml:space="preserve">CB-04</t>
  </si>
  <si>
    <t xml:space="preserve">HU-B02 Funcionalidad completa del software académico y de diseño</t>
  </si>
  <si>
    <t xml:space="preserve">Como docente o alumno, necesito que el software académico y de diseño tenga todas sus funciones en el sistema nuevo, para realizar los trabajos prácticos completos.</t>
  </si>
  <si>
    <t xml:space="preserve">HU-B03 Acceso al correo y campus virtual institucional</t>
  </si>
  <si>
    <t xml:space="preserve">Como docente o alumno, necesito acceder al correo y al campus virtual institucional desde el sistema nuevo, para seguir el cursado normalmente.</t>
  </si>
  <si>
    <t xml:space="preserve">HU-B04 Acceso seguro con cuenta institucional</t>
  </si>
  <si>
    <t xml:space="preserve">Como alumno o docente, necesito ingresar con mi cuenta institucional de forma segura, para que mi trabajo sea personal y esté protegido.</t>
  </si>
  <si>
    <t xml:space="preserve">CB-03</t>
  </si>
  <si>
    <t xml:space="preserve">HU-B05 Definir costos</t>
  </si>
  <si>
    <t xml:space="preserve">Como responsable del laboratorio, necesito conocer el costo de licencias, equipos y soporte de cada opción para los 25 equipos, para decidir con el presupuesto institucional.</t>
  </si>
  <si>
    <t xml:space="preserve">CB-02</t>
  </si>
  <si>
    <t xml:space="preserve">HU-B06 Interfaz intuitiva</t>
  </si>
  <si>
    <t xml:space="preserve">Como alumno, necesito una interfaz fácil de usar, para concentrarme en la materia y no en el sistema.</t>
  </si>
  <si>
    <t xml:space="preserve">HU-B07 Soporte técnico</t>
  </si>
  <si>
    <t xml:space="preserve">Como responsable del laboratorio, necesito saber qué soporte técnico existe para cada sistema, para resolver fallas sin frenar las clases.</t>
  </si>
  <si>
    <t xml:space="preserve">CB-09</t>
  </si>
  <si>
    <t xml:space="preserve">HU-B08 Encontrar y guardar trabajos de cada alumno</t>
  </si>
  <si>
    <t xml:space="preserve">Como docente, necesito que cada alumno tenga un lugar propio donde guardar y encontrar sus trabajos, para corregirlos sin mezclar archivos.</t>
  </si>
  <si>
    <t xml:space="preserve">HU-B09 Estabilidad (configuración estándar y restauración)</t>
  </si>
  <si>
    <t xml:space="preserve">Como responsable del laboratorio, necesito una configuración estándar y poder restaurar cada equipo a su estado original, para que cada clase empiece con las máquinas limpias.</t>
  </si>
  <si>
    <t xml:space="preserve">CB-01</t>
  </si>
  <si>
    <t xml:space="preserve">HU-B10 Disponibilidad y backup</t>
  </si>
  <si>
    <t xml:space="preserve">Como responsable del laboratorio, necesito que el servidor y los trabajos de los alumnos estén respaldados con restauración probada, para no perder información.</t>
  </si>
  <si>
    <t xml:space="preserve">HU-B11 Herramientas de programación</t>
  </si>
  <si>
    <t xml:space="preserve">Como alumno de programación, necesito compilador, editor y base de datos instalados en el sistema nuevo, para ejecutar mis programas en el laboratorio.</t>
  </si>
  <si>
    <t xml:space="preserve">Compilador, editor y base de datos instalados y ejecutando un programa de prueba en ambos sistemas.</t>
  </si>
  <si>
    <t xml:space="preserve">#14</t>
  </si>
  <si>
    <t xml:space="preserve">Definir criterios medibles del Estudio</t>
  </si>
  <si>
    <t xml:space="preserve">Definir, para el Estudio, cada criterio de evaluación con su unidad y su método de medición, evitando expresiones vagas, para que luego la comparación entre sistemas sea objetiva.</t>
  </si>
  <si>
    <t xml:space="preserve">Cada criterio con unidad y método; ninguno del tipo 'que sea fácil/rápido/moderno'. Pregunta de control: si otro equipo mide igual, ¿da lo mismo?</t>
  </si>
  <si>
    <t xml:space="preserve">evidencia/sprint1/estudio/030_definir_criterios_medibles.md</t>
  </si>
  <si>
    <t xml:space="preserve">Definir criterios medibles de la Universidad</t>
  </si>
  <si>
    <t xml:space="preserve">Definir, para la Universidad, cada criterio de evaluación con su unidad y su método de medición (incluidos tiempo de restauración y permisos), para que la comparación sea objetiva.</t>
  </si>
  <si>
    <t xml:space="preserve">Igual que el ítem anterior, incluyendo tiempo de restauración y manejo de permisos.</t>
  </si>
  <si>
    <t xml:space="preserve">evidencia/sprint1/universidad/031_definir_criterios_medibles.md</t>
  </si>
  <si>
    <t xml:space="preserve">Plan de pruebas común para ambos sistemas</t>
  </si>
  <si>
    <t xml:space="preserve">Ambos</t>
  </si>
  <si>
    <t xml:space="preserve">Escribir un único plan de pruebas que se aplique igual a Windows 11 y Ubuntu y a los dos clientes (versión, hardware, repeticiones y programas), para que los resultados sean comparables.</t>
  </si>
  <si>
    <t xml:space="preserve">Plan con: versión y edición de cada SO, hardware usado, número de repeticiones y programas abiertos en cada prueba. Como se prueba en VirtualBox sobre notebooks de integrantes: misma RAM, CPU virtuales y disco en ambas VM, y nota de limitaciones (una VM no equivale a un equipo real ni a las PC de escritorio de la Universidad).</t>
  </si>
  <si>
    <t xml:space="preserve">evidencia/sprint1/comun/032_plan_pruebas_comun.md</t>
  </si>
  <si>
    <t xml:space="preserve">ECM - Relevamiento de hardware y adquisición de licencias</t>
  </si>
  <si>
    <t xml:space="preserve">Épica</t>
  </si>
  <si>
    <t xml:space="preserve">Agrupa el relevamiento de los 30 equipos del Estudio y la cotización de equipos y licencias nuevas, para saber qué hardware hay y cuánto costaría actualizarlo.</t>
  </si>
  <si>
    <t xml:space="preserve">Inventario de los 30 equipos, 3 cotizaciones comparadas y licencias nuevas cotizadas, con fuente y fecha.</t>
  </si>
  <si>
    <t xml:space="preserve">#18</t>
  </si>
  <si>
    <t xml:space="preserve">Relevar los 30 equipos del Estudio</t>
  </si>
  <si>
    <t xml:space="preserve">33</t>
  </si>
  <si>
    <t xml:space="preserve">Relevar uno por uno los 30 equipos del Estudio (sistema, RAM, disco y año) en una planilla, para saber cuáles cumplen los requisitos de Windows 11.</t>
  </si>
  <si>
    <t xml:space="preserve">Planilla con SO, RAM, disco y año de cada equipo (7 con Windows 10, 3 con Windows 11, 10 con Windows 7, 5 con Windows 98, 5 con XP).</t>
  </si>
  <si>
    <t xml:space="preserve">evidencia/sprint1/estudio/inventario/034_relevar_30_equipos.md</t>
  </si>
  <si>
    <t xml:space="preserve">#23</t>
  </si>
  <si>
    <t xml:space="preserve">Cotizar licencias nuevas para el Estudio (30 equipos)</t>
  </si>
  <si>
    <t xml:space="preserve">Obtener al menos tres cotizaciones de licencias para los equipos del Estudio, aclarando qué edición se cotiza, para comparar el costo real.</t>
  </si>
  <si>
    <t xml:space="preserve">3 cotizaciones con fuente y fecha. Aclarar qué se cotiza: Windows 11 Pro (Tango lo exige) y Microsoft 365 Business Standard son productos distintos. Corregir 27 por 30 licencias.</t>
  </si>
  <si>
    <t xml:space="preserve">evidencia/sprint1/estudio/cotizaciones/035_cotizar_licencias_nuevas.md</t>
  </si>
  <si>
    <t xml:space="preserve">#24</t>
  </si>
  <si>
    <t xml:space="preserve">Cotizar 20 notebooks para el Estudio (con y sin licencia)</t>
  </si>
  <si>
    <t xml:space="preserve">Cotizar la compra de 20 notebooks nuevas con y sin licencia, cumpliendo los requisitos de Windows 11, para comparar opciones de compra.</t>
  </si>
  <si>
    <t xml:space="preserve">3 cotizaciones comparadas con precio, especificaciones, fuente y fecha. Debe cumplir TPM 2.0 y UEFI.</t>
  </si>
  <si>
    <t xml:space="preserve">evidencia/sprint1/estudio/cotizaciones/036_cotizar_20_notebooks.md</t>
  </si>
  <si>
    <t xml:space="preserve">#25</t>
  </si>
  <si>
    <t xml:space="preserve">LUP - Relevamiento de hardware y adquisición de licencias</t>
  </si>
  <si>
    <t xml:space="preserve">Agrupa el relevamiento de los 25 equipos del laboratorio y la cotización de licencias, para conocer el estado del hardware y el costo de cada sistema.</t>
  </si>
  <si>
    <t xml:space="preserve">Inventario de los 25 equipos del laboratorio, cotizaciones comparadas y licencias cotizadas, con fuente y fecha.</t>
  </si>
  <si>
    <t xml:space="preserve">Relevar los 25 equipos del laboratorio</t>
  </si>
  <si>
    <t xml:space="preserve">37</t>
  </si>
  <si>
    <t xml:space="preserve">Relevar los 25 equipos de escritorio del laboratorio (sistema, RAM, disco, año, TPM y UEFI) para saber cuáles aceptan Windows 11.</t>
  </si>
  <si>
    <t xml:space="preserve">Planilla con SO, RAM, disco, año y TPM/UEFI de cada uno de los 25 equipos de escritorio.</t>
  </si>
  <si>
    <t xml:space="preserve">evidencia/sprint1/universidad/inventario/038_relevar_25_equipos.md</t>
  </si>
  <si>
    <t xml:space="preserve">Cotizar licencias para la Universidad (Windows 11 educativo/Pro; Ubuntu sin costo de licencia)</t>
  </si>
  <si>
    <t xml:space="preserve">Obtener la cotización oficial de licencias para la Universidad (Windows 11 educativo o Pro, y Ubuntu sin costo), con fuente y fecha, para comparar costos.</t>
  </si>
  <si>
    <t xml:space="preserve">Cotización oficial con fuente y fecha, incluyendo precio educativo si existe y el soporte opcional de Ubuntu.</t>
  </si>
  <si>
    <t xml:space="preserve">evidencia/sprint1/universidad/cotizaciones/039_cotizar_licencias_universidad.md</t>
  </si>
  <si>
    <t xml:space="preserve">Definir Definition of Done y límite WIP</t>
  </si>
  <si>
    <t xml:space="preserve">Media</t>
  </si>
  <si>
    <t xml:space="preserve">Como equipo, necesitamos escribir qué significa «terminado» y cuántas tareas podemos tener en curso a la vez, para trabajar con calidad y sin dejar cosas a medias.</t>
  </si>
  <si>
    <t xml:space="preserve">DoD escrito (con captura/evidencia, revisada por otro integrante vía PR); límite WIP definido para In Progress.</t>
  </si>
  <si>
    <t xml:space="preserve">evidencia/sprint1/equipo/040_definir_definition_of.md</t>
  </si>
  <si>
    <t xml:space="preserve">CASO A - Product Backlog inicial del Estudio (PB-01 a PB-12)</t>
  </si>
  <si>
    <t xml:space="preserve">Documento</t>
  </si>
  <si>
    <t xml:space="preserve">Documento con la tabla inicial de requisitos del Estudio, armada a partir de sus historias de usuario, para tener a la vista qué necesita el cliente.</t>
  </si>
  <si>
    <t xml:space="preserve">Tabla de requisitos del Estudio consolidada con las historias HU-A.</t>
  </si>
  <si>
    <t xml:space="preserve">evidencia/sprint1/historias/041_caso_product_backlog.md</t>
  </si>
  <si>
    <t xml:space="preserve">#2</t>
  </si>
  <si>
    <t xml:space="preserve">CASO B - Product Backlog inicial de la Universidad (PB-01 a PB-12)</t>
  </si>
  <si>
    <t xml:space="preserve">Documento con la tabla inicial de requisitos de la Universidad, con la misma estructura que la del Estudio, para poder comparar ambos casos.</t>
  </si>
  <si>
    <t xml:space="preserve">Tabla de requisitos de la Universidad con la misma estructura que el CASO A.</t>
  </si>
  <si>
    <t xml:space="preserve">evidencia/sprint1/historias/042_caso_b_product.md</t>
  </si>
  <si>
    <t xml:space="preserve">Definir ponderación de criterios por cliente</t>
  </si>
  <si>
    <t xml:space="preserve">Asignar a cada criterio un peso (la suma da 100 %) para cada cliente por separado, de modo que la recomendación refleje lo que importa a cada uno.</t>
  </si>
  <si>
    <t xml:space="preserve">Dos tablas de pesos que suman 100% cada una, aprobadas por el PO.</t>
  </si>
  <si>
    <t xml:space="preserve">evidencia/sprint1/comun/043_definir_ponderacion_criterios.md</t>
  </si>
  <si>
    <t xml:space="preserve">Reinstalar Windows 11 en los 7 equipos del Estudio que tenían Windows 10</t>
  </si>
  <si>
    <t xml:space="preserve">Reinstalar Windows 11 en los 7 equipos del Estudio que hoy tienen Windows 10, para que todo el parque quede en la misma versión.</t>
  </si>
  <si>
    <t xml:space="preserve">7 equipos con Windows 11 verificado (winver).</t>
  </si>
  <si>
    <t xml:space="preserve">evidencia/sprint1/estudio/044_reinstalar_windows_11.md</t>
  </si>
  <si>
    <t xml:space="preserve">Cotizar reposición o ampliación de equipos de la Universidad (si el relevamiento lo exige)</t>
  </si>
  <si>
    <t xml:space="preserve">Cotizar solo los equipos de la Universidad que no cumplan los requisitos de Windows 11, para estimar la inversión si el relevamiento lo exige.</t>
  </si>
  <si>
    <t xml:space="preserve">Cotización comparada solo de los equipos que no cumplan los requisitos de Windows 11; si todos cumplen, queda documentado.</t>
  </si>
  <si>
    <t xml:space="preserve">evidencia/sprint1/universidad/cotizaciones/045_cotizar_reposicion_ampliacion.md</t>
  </si>
  <si>
    <t xml:space="preserve">Capítulo 1 del informe: Relevamiento</t>
  </si>
  <si>
    <t xml:space="preserve">Redactar el primer capítulo del informe con el perfil de ambos clientes, los criterios, los pesos y los cuestionarios, para dejar documentado el relevamiento.</t>
  </si>
  <si>
    <t xml:space="preserve">Capítulo en /informe con perfil de ambos clientes, criterios, pesos y cuestionarios; revisado por PR.</t>
  </si>
  <si>
    <t xml:space="preserve">evidencia/sprint1/comun/046_capitulo_1_informe.md</t>
  </si>
  <si>
    <t xml:space="preserve">Plantilla de bitácora de instalación (10 pasos)</t>
  </si>
  <si>
    <t xml:space="preserve">2026-10-16</t>
  </si>
  <si>
    <t xml:space="preserve">Armar la plantilla de bitácora con los 10 pasos de instalación (medio, arranque, partición, sistema de archivos, idioma, administrador, primer arranque, etc.), para registrar igual ambas instalaciones.</t>
  </si>
  <si>
    <t xml:space="preserve">Plantilla con: medio, arranque, partición, sistema de archivos, idioma, admin, primer arranque, actualización, usuarios/grupos, software; columnas de captura y decisión con su porqué.</t>
  </si>
  <si>
    <t xml:space="preserve">evidencia/sprint2/equipo/047_plantilla_bitacora_instalacion.md</t>
  </si>
  <si>
    <t xml:space="preserve">Armar máquinas virtuales en las notebooks de los integrantes</t>
  </si>
  <si>
    <t xml:space="preserve">Crear máquinas virtuales con la misma RAM, CPU y disco en las notebooks de los integrantes (con TPM y Secure Boot virtuales para Windows 11), para probar en condiciones iguales.</t>
  </si>
  <si>
    <t xml:space="preserve">VMs con igual RAM, CPU virtuales y disco; TPM y Secure Boot virtuales para Windows 11; captura de la configuración de cada VM.</t>
  </si>
  <si>
    <t xml:space="preserve">evidencia/sprint2/equipo/048_armar_maquinas_virtuales.md</t>
  </si>
  <si>
    <t xml:space="preserve">Captura del tablero con el avance del Sprint 2</t>
  </si>
  <si>
    <t xml:space="preserve">Capturar el tablero al cierre del Sprint 2 mostrando el estado de las tareas, para dejar evidencia del avance.</t>
  </si>
  <si>
    <t xml:space="preserve">Captura del Project mostrando el estado de las tareas del Sprint 2 al cierre.</t>
  </si>
  <si>
    <t xml:space="preserve">evidencia/sprint2/tablero/049_captura_tablero_avance.md</t>
  </si>
  <si>
    <t xml:space="preserve">Decidir cómo conseguir las 20 notebooks nuevas del Estudio</t>
  </si>
  <si>
    <t xml:space="preserve">Decidir si las 20 notebooks nuevas del Estudio se llevan o se compran en destino, para planificar la logística.</t>
  </si>
  <si>
    <t xml:space="preserve">Decisión registrada entre llevarlas o comprarlas en destino.</t>
  </si>
  <si>
    <t xml:space="preserve">evidencia/sprint2/hardware/050_decidir_como_conseguir.md</t>
  </si>
  <si>
    <t xml:space="preserve">Instalar Windows 11 en la máquina virtual: pasos 1 a 10 (mismo procedimiento para ambos clientes)</t>
  </si>
  <si>
    <t xml:space="preserve">90</t>
  </si>
  <si>
    <t xml:space="preserve">Instalar Windows 11 en la máquina virtual siguiendo los 10 pasos, registrando captura y tiempo de cada uno; el procedimiento es el mismo para ambos clientes.</t>
  </si>
  <si>
    <t xml:space="preserve">Bitácora de 10 pasos con captura y tiempo de cada uno.</t>
  </si>
  <si>
    <t xml:space="preserve">evidencia/sprint2/instalacion/051_instalar_windows_11.md</t>
  </si>
  <si>
    <t xml:space="preserve">Instalar Ubuntu en la máquina virtual: pasos 1 a 10 (mismo procedimiento para ambos clientes)</t>
  </si>
  <si>
    <t xml:space="preserve">Instalar Ubuntu en la máquina virtual siguiendo los 10 pasos, registrando captura y tiempo de cada uno; el procedimiento es el mismo para ambos clientes.</t>
  </si>
  <si>
    <t xml:space="preserve">evidencia/sprint2/instalacion/052_instalar_ubuntu_maquina.md</t>
  </si>
  <si>
    <t xml:space="preserve">ECM - Perfiles de usuario con permisos diferenciados</t>
  </si>
  <si>
    <t xml:space="preserve">Agrupa la creación de usuarios y grupos del Estudio con permisos diferenciados por rol, para que cada empleado vea solo lo que le corresponde.</t>
  </si>
  <si>
    <t xml:space="preserve">Usuarios y grupos creados; con el usuario 2 se deniegan 3 de 3 acciones sobre archivos del usuario 1.</t>
  </si>
  <si>
    <t xml:space="preserve">#21</t>
  </si>
  <si>
    <t xml:space="preserve">Crear usuarios y grupos en ambos sistemas (Estudio)</t>
  </si>
  <si>
    <t xml:space="preserve">53</t>
  </si>
  <si>
    <t xml:space="preserve">Crear usuarios por rol (dueño, contadores, administrativos) con permisos por carpeta, tanto en Windows como en Ubuntu.</t>
  </si>
  <si>
    <t xml:space="preserve">Usuarios por rol (dueño, contadores, administrativos) con permisos por carpeta, en Windows 11 y Ubuntu.</t>
  </si>
  <si>
    <t xml:space="preserve">evidencia/sprint2/usuarios/054_crear_usuarios_grupos.md</t>
  </si>
  <si>
    <t xml:space="preserve">LUP - Estandarización y protección del parque informático (Universidad)</t>
  </si>
  <si>
    <t xml:space="preserve">Agrupa la instalación del sistema base, los permisos, el congelamiento/restauración y la imagen clonable del laboratorio, para estandarizar los 25 equipos.</t>
  </si>
  <si>
    <t xml:space="preserve">SO base, permisos, congelamiento/restauración e imagen clonable aplicados y medidos.</t>
  </si>
  <si>
    <t xml:space="preserve">#36</t>
  </si>
  <si>
    <t xml:space="preserve">ST-01 SO base de la Universidad</t>
  </si>
  <si>
    <t xml:space="preserve">Subtarea</t>
  </si>
  <si>
    <t xml:space="preserve">55</t>
  </si>
  <si>
    <t xml:space="preserve">Instalar y actualizar el sistema base de la Universidad y documentarlo en la bitácora.</t>
  </si>
  <si>
    <t xml:space="preserve">Sistema base instalado, actualizado y documentado en bitácora.</t>
  </si>
  <si>
    <t xml:space="preserve">evidencia/sprint2/estandarizacion/056_st_01_so.md</t>
  </si>
  <si>
    <t xml:space="preserve">#39</t>
  </si>
  <si>
    <t xml:space="preserve">ST-02 Permisos de la Universidad</t>
  </si>
  <si>
    <t xml:space="preserve">Aplicar y verificar los permisos por grupo en el laboratorio de la Universidad.</t>
  </si>
  <si>
    <t xml:space="preserve">Permisos por grupo aplicados y verificados.</t>
  </si>
  <si>
    <t xml:space="preserve">evidencia/sprint2/estandarizacion/057_st_02_permisos.md</t>
  </si>
  <si>
    <t xml:space="preserve">#40</t>
  </si>
  <si>
    <t xml:space="preserve">Crear 20 usuarios y grupos en ambos sistemas (Universidad)</t>
  </si>
  <si>
    <t xml:space="preserve">Crear 20 usuarios asignados a grupos en ambos sistemas y cronometrar cuánto lleva, para comparar la facilidad de administración.</t>
  </si>
  <si>
    <t xml:space="preserve">20 usuarios creados y asignados a un grupo; se cronometra el tiempo.</t>
  </si>
  <si>
    <t xml:space="preserve">evidencia/sprint2/usuarios/058_crear_20_usuarios.md</t>
  </si>
  <si>
    <t xml:space="preserve">CB-05</t>
  </si>
  <si>
    <t xml:space="preserve">LUP - Estandarización de software para estudiantes (Universidad)</t>
  </si>
  <si>
    <t xml:space="preserve">Agrupa la instalación del software de las materias en ambos sistemas, midiendo los minutos que lleva, para estandarizar el laboratorio.</t>
  </si>
  <si>
    <t xml:space="preserve">Software de las materias instalado y funcionando en ambos sistemas, medido en minutos.</t>
  </si>
  <si>
    <t xml:space="preserve">#37</t>
  </si>
  <si>
    <t xml:space="preserve">Instalar el software de la Universidad en ambos sistemas</t>
  </si>
  <si>
    <t xml:space="preserve">59</t>
  </si>
  <si>
    <t xml:space="preserve">Instalar en Windows 11 y en Ubuntu los programas que usa la Universidad, registrando minutos y resultado de cada uno.</t>
  </si>
  <si>
    <t xml:space="preserve">Lista de programas con minutos de instalación y resultado en Windows 11 y en Ubuntu.</t>
  </si>
  <si>
    <t xml:space="preserve">evidencia/sprint2/software/060_instalar_software_universidad.md</t>
  </si>
  <si>
    <t xml:space="preserve">CB-08</t>
  </si>
  <si>
    <t xml:space="preserve">Verificar requisitos de hardware de Windows 11 en los equipos de ambos clientes</t>
  </si>
  <si>
    <t xml:space="preserve">Marcar cada equipo de ambos clientes como apto o no apto para Windows 11 según TPM 2.0, UEFI/Secure Boot, RAM y disco.</t>
  </si>
  <si>
    <t xml:space="preserve">Cada equipo marcado como apto o no apto (TPM 2.0, UEFI/Secure Boot, RAM, disco).</t>
  </si>
  <si>
    <t xml:space="preserve">evidencia/sprint2/requisitos/061_verificar_requisitos_hardware.md</t>
  </si>
  <si>
    <t xml:space="preserve">LUP - Perfiles de usuario con permisos diferenciados</t>
  </si>
  <si>
    <t xml:space="preserve">Agrupa la creación de 20 usuarios con permisos diferenciados en el laboratorio, para que cada alumno acceda solo a lo suyo.</t>
  </si>
  <si>
    <t xml:space="preserve">20 usuarios creados y asignados a grupos; con el usuario 2 se deniegan 3 de 3 acciones sobre archivos del usuario 1.</t>
  </si>
  <si>
    <t xml:space="preserve">ECM - Estandarización y protección del parque informático (Estudio)</t>
  </si>
  <si>
    <t xml:space="preserve">Agrupa la instalación del sistema base, los permisos, la restauración desde imagen y la imagen clonable del Estudio, con el mismo método que la Universidad.</t>
  </si>
  <si>
    <t xml:space="preserve">SO base, permisos, restauración desde imagen e imagen clonable aplicados y medidos (mismo criterio que la Universidad).</t>
  </si>
  <si>
    <t xml:space="preserve">ST-01 SO base del Estudio</t>
  </si>
  <si>
    <t xml:space="preserve">63</t>
  </si>
  <si>
    <t xml:space="preserve">Instalar y actualizar el sistema base del Estudio y documentarlo en la bitácora.</t>
  </si>
  <si>
    <t xml:space="preserve">evidencia/sprint2/estandarizacion/064_st_01_so.md</t>
  </si>
  <si>
    <t xml:space="preserve">ST-02 Permisos del Estudio</t>
  </si>
  <si>
    <t xml:space="preserve">Aplicar y verificar los permisos por grupo en el Estudio.</t>
  </si>
  <si>
    <t xml:space="preserve">evidencia/sprint2/estandarizacion/065_st_02_permisos.md</t>
  </si>
  <si>
    <t xml:space="preserve">ECM - Estandarización de software del Estudio</t>
  </si>
  <si>
    <t xml:space="preserve">Agrupa la instalación de Tango (supuesto), ofimática, correo y firma digital del Estudio en ambos sistemas.</t>
  </si>
  <si>
    <t xml:space="preserve">Tango (supuesto), ofimática, correo y firma digital instalados y funcionando en ambos sistemas, medido en minutos.</t>
  </si>
  <si>
    <t xml:space="preserve">Instalar el software del Estudio en ambos sistemas</t>
  </si>
  <si>
    <t xml:space="preserve">66</t>
  </si>
  <si>
    <t xml:space="preserve">Instalar en Windows 11 y en Ubuntu los programas del Estudio, registrando minutos y resultado de cada uno.</t>
  </si>
  <si>
    <t xml:space="preserve">evidencia/sprint2/software/067_instalar_software_estudio.md</t>
  </si>
  <si>
    <t xml:space="preserve">Configurar gestión visual y límites WIP en GitHub Project</t>
  </si>
  <si>
    <t xml:space="preserve">Configurar la vista Board del Project con límite de tareas en In Progress y escribir la regla «dejar de empezar, empezar a terminar».</t>
  </si>
  <si>
    <t xml:space="preserve">Vista Board con límite en In Progress; regla 'dejar de empezar, empezar a terminar' escrita en README.</t>
  </si>
  <si>
    <t xml:space="preserve">evidencia/sprint2/equipo/068_configurar_gestion_visual.md</t>
  </si>
  <si>
    <t xml:space="preserve">Review y retrospectiva del Sprint 2; rotar PO y SM</t>
  </si>
  <si>
    <t xml:space="preserve">Mostrar el incremento al docente, hacer la retrospectiva del Sprint 2 con tres mejoras y rotar PO y SM.</t>
  </si>
  <si>
    <t xml:space="preserve">Incremento mostrado al docente; retro con 3 mejoras anotadas; nuevos PO y SM asignados.</t>
  </si>
  <si>
    <t xml:space="preserve">evidencia/sprint2/equipo/069_review_retrospectiva_sprint.md</t>
  </si>
  <si>
    <t xml:space="preserve">Definir hardware recomendado: notebooks del Estudio</t>
  </si>
  <si>
    <t xml:space="preserve">Definir y justificar CPU, RAM, disco y TPM recomendados para las notebooks del Estudio según Windows 11 Pro y Tango.</t>
  </si>
  <si>
    <t xml:space="preserve">CPU, RAM, disco y TPM justificados con los requisitos de Windows 11 Pro y de Tango.</t>
  </si>
  <si>
    <t xml:space="preserve">evidencia/sprint2/hardware/070_definir_hardware_recomendado.md</t>
  </si>
  <si>
    <t xml:space="preserve">Preparar USB booteable de Windows 11</t>
  </si>
  <si>
    <t xml:space="preserve">Preparar un USB booteable de Windows 11 que llegue al instalador en la máquina virtual, registrando herramienta y versión.</t>
  </si>
  <si>
    <t xml:space="preserve">USB arranca en la máquina virtual y llega al instalador; se registra la herramienta y la versión.</t>
  </si>
  <si>
    <t xml:space="preserve">evidencia/sprint2/instalacion/071_preparar_usb_booteable.md</t>
  </si>
  <si>
    <t xml:space="preserve">#26</t>
  </si>
  <si>
    <t xml:space="preserve">Preparar USB/ISO booteable de Ubuntu</t>
  </si>
  <si>
    <t xml:space="preserve">Preparar el USB o ISO de Ubuntu, verificar su suma de comprobación y llegar al instalador en la máquina virtual.</t>
  </si>
  <si>
    <t xml:space="preserve">ISO verificada con suma de comprobación, arranca en la máquina virtual y llega al instalador.</t>
  </si>
  <si>
    <t xml:space="preserve">evidencia/sprint2/instalacion/072_preparar_usb_iso.md</t>
  </si>
  <si>
    <t xml:space="preserve">Justificar particiones y sistemas de archivos por cliente</t>
  </si>
  <si>
    <t xml:space="preserve">Definir y justificar las particiones y los sistemas de archivos para cada cliente, en una tabla con tamaño y motivo.</t>
  </si>
  <si>
    <t xml:space="preserve">Tabla de particiones con tamaño y motivo para el Estudio y para la Universidad.</t>
  </si>
  <si>
    <t xml:space="preserve">evidencia/sprint2/instalacion/073_justificar_particiones_sistemas.md</t>
  </si>
  <si>
    <t xml:space="preserve">Documentar supuesto de versión de Tango y sus requisitos</t>
  </si>
  <si>
    <t xml:space="preserve">Dejar documentada la versión de Tango como SUPUESTO, citando sus requisitos desde una fuente (distribuidor).</t>
  </si>
  <si>
    <t xml:space="preserve">Versión marcada como SUPUESTO con requisitos citados de una fuente (distribuidor).</t>
  </si>
  <si>
    <t xml:space="preserve">evidencia/sprint2/tango/074_documentar_supuesto_version.md</t>
  </si>
  <si>
    <t xml:space="preserve">ECM - Instalación de isla de impresión (Estudio)</t>
  </si>
  <si>
    <t xml:space="preserve">Agrupa el relevamiento, la asignación de IP fija y la conexión de las impresoras del Estudio en los equipos.</t>
  </si>
  <si>
    <t xml:space="preserve">Impresoras relevadas, IP fijas asignadas y disponibles en los equipos; conexión en N pasos medidos.</t>
  </si>
  <si>
    <t xml:space="preserve">#32</t>
  </si>
  <si>
    <t xml:space="preserve">Relevar impresoras del Estudio</t>
  </si>
  <si>
    <t xml:space="preserve">75</t>
  </si>
  <si>
    <t xml:space="preserve">Relevar modelo, conexión y driver disponible de cada impresora del Estudio para Windows 11 y Ubuntu.</t>
  </si>
  <si>
    <t xml:space="preserve">Planilla con modelo, conexión y driver disponible para Windows 11 y Ubuntu.</t>
  </si>
  <si>
    <t xml:space="preserve">evidencia/sprint2/impresion/076_relevar_impresoras_estudio.md</t>
  </si>
  <si>
    <t xml:space="preserve">#33</t>
  </si>
  <si>
    <t xml:space="preserve">Identificar equipos y fijar IP de impresoras del Estudio</t>
  </si>
  <si>
    <t xml:space="preserve">Asignar IP fija a cada impresora del Estudio sin conflictos y comprobarlo con ping.</t>
  </si>
  <si>
    <t xml:space="preserve">Tabla de IP fijas sin conflictos, comprobada con ping.</t>
  </si>
  <si>
    <t xml:space="preserve">evidencia/sprint2/impresion/077_identificar_equipos_fijar.md</t>
  </si>
  <si>
    <t xml:space="preserve">#34</t>
  </si>
  <si>
    <t xml:space="preserve">Disponibilizar impresoras en los equipos del Estudio</t>
  </si>
  <si>
    <t xml:space="preserve">Dejar las impresoras disponibles en los equipos del Estudio e imprimir una prueba con cada sistema, registrando pasos y minutos.</t>
  </si>
  <si>
    <t xml:space="preserve">Impresión de prueba desde un equipo con cada sistema; pasos y minutos registrados.</t>
  </si>
  <si>
    <t xml:space="preserve">evidencia/sprint2/impresion/078_disponibilizar_impresoras_equipos.md</t>
  </si>
  <si>
    <t xml:space="preserve">CA-08</t>
  </si>
  <si>
    <t xml:space="preserve">#35</t>
  </si>
  <si>
    <t xml:space="preserve">ST-04 Espacio para alumnos</t>
  </si>
  <si>
    <t xml:space="preserve">Dar a cada alumno una carpeta personal con cuota y aislamiento verificado.</t>
  </si>
  <si>
    <t xml:space="preserve">Carpeta personal por alumno con cuota y aislamiento verificado.</t>
  </si>
  <si>
    <t xml:space="preserve">evidencia/sprint2/estandarizacion/079_st_04_espacio.md</t>
  </si>
  <si>
    <t xml:space="preserve">#42</t>
  </si>
  <si>
    <t xml:space="preserve">LUP - Instalación de isla de impresión (Universidad)</t>
  </si>
  <si>
    <t xml:space="preserve">Agrupa el relevamiento, la IP fija y la conexión de las impresoras de la Universidad, incluyendo el registro de impresión.</t>
  </si>
  <si>
    <t xml:space="preserve">Impresoras relevadas, IP fijas asignadas, disponibles en los equipos y con registro de impresión por usuario.</t>
  </si>
  <si>
    <t xml:space="preserve">#38</t>
  </si>
  <si>
    <t xml:space="preserve">Relevar impresoras de la Universidad</t>
  </si>
  <si>
    <t xml:space="preserve">80</t>
  </si>
  <si>
    <t xml:space="preserve">Relevar modelo, conexión y driver disponible de cada impresora de la Universidad para Windows 11 y Ubuntu.</t>
  </si>
  <si>
    <t xml:space="preserve">evidencia/sprint2/impresion/081_relevar_impresoras_universidad.md</t>
  </si>
  <si>
    <t xml:space="preserve">Identificar equipos y fijar IP de impresoras de la Universidad</t>
  </si>
  <si>
    <t xml:space="preserve">Asignar IP fija a cada impresora de la Universidad sin conflictos y comprobarlo con ping.</t>
  </si>
  <si>
    <t xml:space="preserve">evidencia/sprint2/impresion/082_identificar_equipos_fijar.md</t>
  </si>
  <si>
    <t xml:space="preserve">Disponibilizar impresoras en los equipos de la Universidad</t>
  </si>
  <si>
    <t xml:space="preserve">Dejar las impresoras disponibles en los equipos del laboratorio, imprimir una prueba con cada sistema y registrar pasos, minutos y registro de impresión.</t>
  </si>
  <si>
    <t xml:space="preserve">Impresión de prueba desde un equipo con cada sistema; pasos, minutos y registro de impresión por usuario.</t>
  </si>
  <si>
    <t xml:space="preserve">evidencia/sprint2/impresion/083_disponibilizar_impresoras_equipos.md</t>
  </si>
  <si>
    <t xml:space="preserve">CB-10</t>
  </si>
  <si>
    <t xml:space="preserve">Definir hardware recomendado: PC del laboratorio</t>
  </si>
  <si>
    <t xml:space="preserve">Definir y justificar CPU, RAM, disco y TPM recomendados para las PC del laboratorio según Windows 11 y las herramientas de las materias.</t>
  </si>
  <si>
    <t xml:space="preserve">CPU, RAM, disco y TPM justificados con los requisitos de Windows 11 y de las herramientas de las materias.</t>
  </si>
  <si>
    <t xml:space="preserve">evidencia/sprint2/hardware/084_definir_hardware_recomendado.md</t>
  </si>
  <si>
    <t xml:space="preserve">ST-04 Espacio de trabajo por empleado del Estudio</t>
  </si>
  <si>
    <t xml:space="preserve">Dar a cada empleado del Estudio una carpeta personal con cuota y aislamiento verificado.</t>
  </si>
  <si>
    <t xml:space="preserve">Carpeta personal por empleado con cuota y aislamiento verificado.</t>
  </si>
  <si>
    <t xml:space="preserve">evidencia/sprint2/estandarizacion/085_st_04_espacio.md</t>
  </si>
  <si>
    <t xml:space="preserve">Capítulo 2 del informe: Instalación</t>
  </si>
  <si>
    <t xml:space="preserve">Redactar el segundo capítulo del informe con la bitácora de ambos sistemas (10 pasos y capturas).</t>
  </si>
  <si>
    <t xml:space="preserve">Bitácora de ambos SO con 10 pasos y capturas en /evidencia; revisado por PR.</t>
  </si>
  <si>
    <t xml:space="preserve">evidencia/sprint2/comun/086_capitulo_2_informe.md</t>
  </si>
  <si>
    <t xml:space="preserve">Flujo de ramas y Pull Requests en GitHub</t>
  </si>
  <si>
    <t xml:space="preserve">2026-10-23</t>
  </si>
  <si>
    <t xml:space="preserve">Definir el flujo de trabajo con ramas y Pull Requests (main protegida, una revisión obligatoria), de modo que todos los integrantes hagan al menos un commit y un PR.</t>
  </si>
  <si>
    <t xml:space="preserve">main protegida; PR obligatorio con 1 revisión; todos hicieron al menos 1 commit y 1 PR.</t>
  </si>
  <si>
    <t xml:space="preserve">evidencia/sprint3/equipo/087_flujo_ramas_pull.md</t>
  </si>
  <si>
    <t xml:space="preserve">ECM - Backup previo a la migración</t>
  </si>
  <si>
    <t xml:space="preserve">Agrupa los backups de equipos y servidor del Estudio con restauración probada antes de migrar. Por su tamaño se parte en tareas.</t>
  </si>
  <si>
    <t xml:space="preserve">Backup de equipos y del servidor con restauración probada. Estimación de 21 puntos: partir en subtareas de hasta 8.</t>
  </si>
  <si>
    <t xml:space="preserve">#19</t>
  </si>
  <si>
    <t xml:space="preserve">Backups de equipos y servidor del Estudio</t>
  </si>
  <si>
    <t xml:space="preserve">88</t>
  </si>
  <si>
    <t xml:space="preserve">Realizar el backup completo del servidor de Tango y de los archivos de cada usuario y probar la restauración.</t>
  </si>
  <si>
    <t xml:space="preserve">Backup completo del servidor Tango y de los archivos de cada usuario, con restauración probada y minutos medidos.</t>
  </si>
  <si>
    <t xml:space="preserve">evidencia/sprint3/backup/089_backups_equipos_servidor.md</t>
  </si>
  <si>
    <t xml:space="preserve">#28</t>
  </si>
  <si>
    <t xml:space="preserve">ECM - Validación de compatibilidad del nuevo SO</t>
  </si>
  <si>
    <t xml:space="preserve">Agrupa las pruebas de compatibilidad de Tango, ofimática, correo y firma digital en Windows 11 y en Ubuntu.</t>
  </si>
  <si>
    <t xml:space="preserve">Compatibilidad de Tango, ofimática, correo y firma digital probada en Windows 11 y en Ubuntu.</t>
  </si>
  <si>
    <t xml:space="preserve">#20</t>
  </si>
  <si>
    <t xml:space="preserve">Prueba de compatibilidad: Tango (supuesto), planillas, correo y firma digital en ambos SO</t>
  </si>
  <si>
    <t xml:space="preserve">Prueba</t>
  </si>
  <si>
    <t xml:space="preserve">Probar las funciones de Tango (supuesto), planillas, correo y firma digital en ambos sistemas; lo no comprobado se marca «leído, no comprobado» con su fuente.</t>
  </si>
  <si>
    <t xml:space="preserve">Funciones probadas OK de total; lo no comprobado se marca 'leído, no comprobado' con fuente.</t>
  </si>
  <si>
    <t xml:space="preserve">evidencia/sprint3/compat/091_prueba_compatibilidad_tango.md</t>
  </si>
  <si>
    <t xml:space="preserve">Prueba de aprendizaje: persona sin formación hace 5 tareas (Estudio)</t>
  </si>
  <si>
    <t xml:space="preserve">Pedir a una persona sin formación técnica que haga 5 tareas habituales del Estudio en cada sistema, cronometrando y contando las ayudas necesarias.</t>
  </si>
  <si>
    <t xml:space="preserve">5 tareas habituales cronometradas, con ayudas contadas, en cada sistema.</t>
  </si>
  <si>
    <t xml:space="preserve">evidencia/sprint3/aprendizaje/092_prueba_aprendizaje_persona.md</t>
  </si>
  <si>
    <t xml:space="preserve">Prueba: gestión de procesos desde la terminal (ver qué corre y detener un programa colgado)</t>
  </si>
  <si>
    <t xml:space="preserve">Listar los procesos en ejecución y detener un programa colgado desde la terminal en Windows (Get-Process, Stop-Process) y en Ubuntu (ps, top, kill).</t>
  </si>
  <si>
    <t xml:space="preserve">En Windows (Get-Process, Stop-Process) y en Ubuntu (ps, top, kill) se lista lo que corre, se detiene un programa colgado de prueba y se captura cada paso.</t>
  </si>
  <si>
    <t xml:space="preserve">evidencia/sprint3/pruebas/093_prueba_gestion_procesos.md</t>
  </si>
  <si>
    <t xml:space="preserve">Prueba: usuarios, grupos y permisos (Estudio)</t>
  </si>
  <si>
    <t xml:space="preserve">Con un segundo usuario, intentar abrir, modificar y borrar un archivo de otro usuario del Estudio para verificar que los permisos lo impiden.</t>
  </si>
  <si>
    <t xml:space="preserve">Con el usuario 2 se intenta abrir, modificar y borrar un archivo del usuario 1; acciones denegadas de 3.</t>
  </si>
  <si>
    <t xml:space="preserve">evidencia/sprint3/permisos/094_prueba_usuarios_grupos.md</t>
  </si>
  <si>
    <t xml:space="preserve">Tabla de resultados medidos (ambos clientes)</t>
  </si>
  <si>
    <t xml:space="preserve">133</t>
  </si>
  <si>
    <t xml:space="preserve">Armar una tabla con una fila por criterio medido, el resultado en cada sistema y el vínculo a su evidencia, para ambos clientes.</t>
  </si>
  <si>
    <t xml:space="preserve">Una fila por cada criterio medido, con el resultado en cada sistema y el vínculo a la evidencia.</t>
  </si>
  <si>
    <t xml:space="preserve">evidencia/sprint3/matriz/095_tabla_resultados_medidos.md</t>
  </si>
  <si>
    <t xml:space="preserve">Tabla comparativa y puntaje ponderado del Estudio</t>
  </si>
  <si>
    <t xml:space="preserve">Completar la tabla del Estudio con un resultado medido por cada criterio en ambos sistemas y calcular el puntaje ponderado de 0 a 10.</t>
  </si>
  <si>
    <t xml:space="preserve">Un resultado medido por cada criterio CA-01 a CA-10 en ambos sistemas; puntaje de 0 a 10 por el peso y suma por sistema.</t>
  </si>
  <si>
    <t xml:space="preserve">evidencia/sprint3/matriz/096_tabla_comparativa_puntaje.md</t>
  </si>
  <si>
    <t xml:space="preserve">Conclusión parcial del Estudio: hacia qué sistema se inclina y por qué</t>
  </si>
  <si>
    <t xml:space="preserve">Redactar un párrafo que diga hacia qué sistema se inclina el Estudio y por qué, apoyado en la tabla de resultados.</t>
  </si>
  <si>
    <t xml:space="preserve">Párrafo con el sistema hacia el que se inclina el Estudio y la razón, apoyado en la tabla comparativa.</t>
  </si>
  <si>
    <t xml:space="preserve">evidencia/sprint3/conclusion/097_conclusion_parcial_estudio.md</t>
  </si>
  <si>
    <t xml:space="preserve">ST-03 Congelamiento y restauración de la Universidad</t>
  </si>
  <si>
    <t xml:space="preserve">Instalar y borrar programas y archivos, restaurar el equipo y medir el tiempo y los cambios revertidos en el laboratorio.</t>
  </si>
  <si>
    <t xml:space="preserve">Se instalan y borran programas y archivos, se restaura y se mide el tiempo y los cambios revertidos.</t>
  </si>
  <si>
    <t xml:space="preserve">evidencia/sprint3/restauracion/098_st_03_congelamiento.md</t>
  </si>
  <si>
    <t xml:space="preserve">#41</t>
  </si>
  <si>
    <t xml:space="preserve">ST-05 Clonación y configuración de la Universidad</t>
  </si>
  <si>
    <t xml:space="preserve">Clonar la imagen estándar de la Universidad a otra máquina virtual y cronometrar los minutos por equipo.</t>
  </si>
  <si>
    <t xml:space="preserve">Imagen estándar clonada a otra máquina virtual; minutos por equipo cronometrados.</t>
  </si>
  <si>
    <t xml:space="preserve">evidencia/sprint3/imagen/099_st_05_clonacion.md</t>
  </si>
  <si>
    <t xml:space="preserve">#43</t>
  </si>
  <si>
    <t xml:space="preserve">Prueba: usuarios, grupos y permisos (Universidad)</t>
  </si>
  <si>
    <t xml:space="preserve">Con un segundo usuario, intentar abrir, modificar y borrar un archivo de otro usuario de la Universidad para verificar que los permisos lo impiden.</t>
  </si>
  <si>
    <t xml:space="preserve">evidencia/sprint3/permisos/100_prueba_usuarios_grupos.md</t>
  </si>
  <si>
    <t xml:space="preserve">Relevar costos de licencias y soporte con fuente y fecha (ambos clientes)</t>
  </si>
  <si>
    <t xml:space="preserve">Relevar precios de licencias y soporte de ambos sistemas para ambos clientes, citando fuente oficial y fecha de consulta.</t>
  </si>
  <si>
    <t xml:space="preserve">Cada precio con fuente oficial y fecha de consulta.</t>
  </si>
  <si>
    <t xml:space="preserve">evidencia/sprint3/costos/101_relevar_costos_licencias.md</t>
  </si>
  <si>
    <t xml:space="preserve">CA-02 · CB-02</t>
  </si>
  <si>
    <t xml:space="preserve">LUP - Backup previo a la migración</t>
  </si>
  <si>
    <t xml:space="preserve">Agrupa los backups de equipos y servidor del laboratorio con restauración probada antes de migrar, con la misma prueba que el Estudio.</t>
  </si>
  <si>
    <t xml:space="preserve">Backup de equipos y del servidor del laboratorio con restauración probada (misma prueba que el Estudio).</t>
  </si>
  <si>
    <t xml:space="preserve">Backups de equipos y servidor de la Universidad</t>
  </si>
  <si>
    <t xml:space="preserve">102</t>
  </si>
  <si>
    <t xml:space="preserve">Realizar el backup completo del servidor y de los archivos de cada usuario de la Universidad y probar la restauración.</t>
  </si>
  <si>
    <t xml:space="preserve">Backup completo del servidor y de los archivos de cada usuario, con restauración probada y minutos medidos.</t>
  </si>
  <si>
    <t xml:space="preserve">evidencia/sprint3/backup/103_backups_equipos_servidor.md</t>
  </si>
  <si>
    <t xml:space="preserve">Prueba de restauración del servidor desde backup (ambos clientes)</t>
  </si>
  <si>
    <t xml:space="preserve">Restaurar el servidor desde el backup y medir los minutos hasta que queda operativo, con el mismo procedimiento para ambos clientes.</t>
  </si>
  <si>
    <t xml:space="preserve">Minutos hasta que el servidor queda operativo; mismo procedimiento para ambos clientes.</t>
  </si>
  <si>
    <t xml:space="preserve">evidencia/sprint3/backup/104_prueba_restauracion_servidor.md</t>
  </si>
  <si>
    <t xml:space="preserve">CA-06 · CB-01</t>
  </si>
  <si>
    <t xml:space="preserve">LUP - Validación de compatibilidad del nuevo SO</t>
  </si>
  <si>
    <t xml:space="preserve">Agrupa las pruebas de compatibilidad de las herramientas de programación, bases de datos, diseño y ofimática en ambos sistemas.</t>
  </si>
  <si>
    <t xml:space="preserve">Herramientas de programación, bases de datos, diseño y ofimática probadas en Windows 11 y en Ubuntu.</t>
  </si>
  <si>
    <t xml:space="preserve">Prueba de compatibilidad: herramientas de programación, bases de datos, diseño y ofimática en ambos SO</t>
  </si>
  <si>
    <t xml:space="preserve">105</t>
  </si>
  <si>
    <t xml:space="preserve">Probar la instalación y el funcionamiento de las herramientas de programación, bases de datos, diseño y ofimática en ambos sistemas, midiendo minutos.</t>
  </si>
  <si>
    <t xml:space="preserve">Programas OK de requeridos y minutos de instalación; lo no comprobado se marca igual.</t>
  </si>
  <si>
    <t xml:space="preserve">evidencia/sprint3/compat/106_prueba_compatibilidad_herramientas.md</t>
  </si>
  <si>
    <t xml:space="preserve">Prueba de aprendizaje: estudiante o docente sin formación hace 5 tareas (Universidad)</t>
  </si>
  <si>
    <t xml:space="preserve">Pedir a un estudiante o docente sin formación que haga 5 tareas habituales del laboratorio en cada sistema, cronometrando y contando ayudas; mismo método que el Estudio.</t>
  </si>
  <si>
    <t xml:space="preserve">5 tareas habituales de la sala cronometradas, con ayudas contadas, en cada sistema. Mismo método que la prueba de aprendizaje del Estudio. Dato complementario: no pesa en la matriz de la Universidad.</t>
  </si>
  <si>
    <t xml:space="preserve">evidencia/sprint3/aprendizaje/107_prueba_aprendizaje_estudiante.md</t>
  </si>
  <si>
    <t xml:space="preserve">Tabla comparativa y puntaje ponderado de la Universidad</t>
  </si>
  <si>
    <t xml:space="preserve">138</t>
  </si>
  <si>
    <t xml:space="preserve">Completar la tabla de la Universidad con un resultado medido por criterio en ambos sistemas y calcular el puntaje ponderado de 0 a 10.</t>
  </si>
  <si>
    <t xml:space="preserve">Un resultado medido por cada criterio CB-01 a CB-10 en ambos sistemas; puntaje de 0 a 10 por el peso y suma por sistema.</t>
  </si>
  <si>
    <t xml:space="preserve">evidencia/sprint3/matriz/108_tabla_comparativa_puntaje.md</t>
  </si>
  <si>
    <t xml:space="preserve">Conclusión parcial de la Universidad: hacia qué sistema se inclina y por qué</t>
  </si>
  <si>
    <t xml:space="preserve">Redactar un párrafo que diga hacia qué sistema se inclina la Universidad y por qué, apoyado en la tabla de resultados.</t>
  </si>
  <si>
    <t xml:space="preserve">Párrafo con el sistema hacia el que se inclina la Universidad y la razón, apoyado en la tabla comparativa.</t>
  </si>
  <si>
    <t xml:space="preserve">evidencia/sprint3/conclusion/109_conclusion_parcial_universidad.md</t>
  </si>
  <si>
    <t xml:space="preserve">ST-03 Restauración del estado original del Estudio (desde imagen)</t>
  </si>
  <si>
    <t xml:space="preserve">Repetir en el Estudio el procedimiento de restauración desde imagen: hacer cambios, restaurar y medir minutos y cambios revertidos.</t>
  </si>
  <si>
    <t xml:space="preserve">Mismo procedimiento que la Universidad: cambios, restauración, minutos y cambios revertidos.</t>
  </si>
  <si>
    <t xml:space="preserve">evidencia/sprint3/restauracion/110_st_03_restauracion.md</t>
  </si>
  <si>
    <t xml:space="preserve">ST-05 Imagen estándar y clonación del Estudio</t>
  </si>
  <si>
    <t xml:space="preserve">Estandarizar la imagen de Windows 11 del Estudio, clonarla a otra máquina virtual y cronometrar los minutos por equipo.</t>
  </si>
  <si>
    <t xml:space="preserve">Imagen de Windows 11 estandarizada clonada a otra máquina virtual; minutos por equipo cronometrados.</t>
  </si>
  <si>
    <t xml:space="preserve">evidencia/sprint3/imagen/111_st_05_imagen.md</t>
  </si>
  <si>
    <t xml:space="preserve">CA-07</t>
  </si>
  <si>
    <t xml:space="preserve">ECM - Servidor Tango en la nube</t>
  </si>
  <si>
    <t xml:space="preserve">Agrupa la contratación y el dimensionamiento de un servidor Windows en la nube para Tango y su base de datos, con acceso seguro y restauración probada.</t>
  </si>
  <si>
    <t xml:space="preserve">Servidor Windows con Tango y base de datos en la nube, acceso seguro y restauración probada. Versión de Tango = SUPUESTO.</t>
  </si>
  <si>
    <t xml:space="preserve">Elegir proveedor y dimensionar el servidor en la nube (Estudio: Tango y base de datos)</t>
  </si>
  <si>
    <t xml:space="preserve">112</t>
  </si>
  <si>
    <t xml:space="preserve">Comparar al menos dos proveedores de nube (precio mensual, fuente y fecha) y dimensionar CPU, RAM y disco para el servidor del Estudio.</t>
  </si>
  <si>
    <t xml:space="preserve">Al menos 2 proveedores con precio mensual (fuente y fecha), CPU/RAM/disco dimensionados y licencia de servidor incluida en el costo.</t>
  </si>
  <si>
    <t xml:space="preserve">evidencia/sprint3/nube/113_elegir_proveedor_dimensionar.md</t>
  </si>
  <si>
    <t xml:space="preserve">Conectividad y seguridad hacia la nube (VPN o acceso remoto, doble factor, ancho de banda) - Estudio</t>
  </si>
  <si>
    <t xml:space="preserve">Calcular el ancho de banda mínimo para 30 usuarios y elegir el método de acceso seguro (VPN o acceso remoto con doble factor) para el Estudio.</t>
  </si>
  <si>
    <t xml:space="preserve">Ancho de banda mínimo calculado para 30 usuarios, método de acceso elegido y accesos por rol definidos.</t>
  </si>
  <si>
    <t xml:space="preserve">evidencia/sprint3/nube/114_conectividad_seguridad_hacia.md</t>
  </si>
  <si>
    <t xml:space="preserve">LUP - Servidor del laboratorio en la nube</t>
  </si>
  <si>
    <t xml:space="preserve">Agrupa el servidor en la nube del laboratorio (perfiles, espacio de alumnos, impresión y repositorio de software), con acceso seguro.</t>
  </si>
  <si>
    <t xml:space="preserve">Servidor en la nube (perfiles, espacio de alumnos, impresión y repositorio de software), acceso seguro y restauración probada. Mismo esquema que el Estudio.</t>
  </si>
  <si>
    <t xml:space="preserve">Elegir proveedor y dimensionar el servidor en la nube (Universidad)</t>
  </si>
  <si>
    <t xml:space="preserve">115</t>
  </si>
  <si>
    <t xml:space="preserve">Comparar al menos dos proveedores de nube (precio mensual, fuente y fecha) y dimensionar el servidor de la Universidad.</t>
  </si>
  <si>
    <t xml:space="preserve">Al menos 2 proveedores con precio mensual (fuente y fecha), CPU/RAM/disco dimensionados para perfiles, espacio de alumnos y software.</t>
  </si>
  <si>
    <t xml:space="preserve">evidencia/sprint3/nube/116_elegir_proveedor_dimensionar.md</t>
  </si>
  <si>
    <t xml:space="preserve">Conectividad y seguridad hacia la nube (VPN o acceso remoto, doble factor, ancho de banda) - Universidad</t>
  </si>
  <si>
    <t xml:space="preserve">Calcular el ancho de banda para los usuarios simultáneos de la sala y elegir el método de acceso seguro para la Universidad.</t>
  </si>
  <si>
    <t xml:space="preserve">Ancho de banda mínimo calculado para los usuarios simultáneos de la sala, método de acceso y accesos por rol definidos.</t>
  </si>
  <si>
    <t xml:space="preserve">evidencia/sprint3/nube/117_conectividad_seguridad_hacia.md</t>
  </si>
  <si>
    <t xml:space="preserve">Review y retrospectiva del Sprint 3; rotar PO y SM</t>
  </si>
  <si>
    <t xml:space="preserve">Mostrar el incremento del Sprint 3, hacer la retrospectiva con tres mejoras y rotar PO y SM.</t>
  </si>
  <si>
    <t xml:space="preserve">Incremento mostrado; retro con 3 mejoras; nuevos PO y SM.</t>
  </si>
  <si>
    <t xml:space="preserve">evidencia/sprint3/equipo/118_review_retrospectiva_sprint.md</t>
  </si>
  <si>
    <t xml:space="preserve">Confirmar tratamiento fiscal y cotizar las 3 opciones de compra (Estudio)</t>
  </si>
  <si>
    <t xml:space="preserve">Confirmar el tratamiento fiscal (SUPUESTO con fuente oficial) y cotizar tres opciones de compra para el Estudio.</t>
  </si>
  <si>
    <t xml:space="preserve">Tabla de 3 opciones; el régimen fiscal queda como SUPUESTO con fuente oficial citada.</t>
  </si>
  <si>
    <t xml:space="preserve">evidencia/sprint3/compra/119_confirmar_tratamiento_fiscal.md</t>
  </si>
  <si>
    <t xml:space="preserve">Prueba: tiempo de arranque en ambos sistemas (ambos clientes)</t>
  </si>
  <si>
    <t xml:space="preserve">Medir el tiempo de arranque desde el encendido hasta poder abrir un programa, con 3 repeticiones por sistema en el mismo equipo.</t>
  </si>
  <si>
    <t xml:space="preserve">3 repeticiones por SO, mismo equipo; medir segundos desde el encendido hasta poder abrir un programa; registrar mediana.</t>
  </si>
  <si>
    <t xml:space="preserve">evidencia/sprint3/pruebas/120_prueba_tiempo_arranque.md</t>
  </si>
  <si>
    <t xml:space="preserve">CA-09 · CB-07</t>
  </si>
  <si>
    <t xml:space="preserve">Prueba: RAM y procesos en reposo (ambos clientes)</t>
  </si>
  <si>
    <t xml:space="preserve">Medir la RAM ocupada y la cantidad de procesos en reposo en cada sistema.</t>
  </si>
  <si>
    <t xml:space="preserve">Medir MB de RAM ocupada en reposo y cantidad de procesos (Get-Process / ps aux; Get-Counter / top; free -h) tras 5 minutos sin tocar nada.</t>
  </si>
  <si>
    <t xml:space="preserve">evidencia/sprint3/pruebas/121_prueba_ram_procesos.md</t>
  </si>
  <si>
    <t xml:space="preserve">CB-06</t>
  </si>
  <si>
    <t xml:space="preserve">Prueba: memoria con los mismos programas abiertos (ambos clientes)</t>
  </si>
  <si>
    <t xml:space="preserve">Abrir los mismos programas (navegador, planilla, editor) en ambos sistemas y anotar el consumo de memoria por proceso.</t>
  </si>
  <si>
    <t xml:space="preserve">Abrir los mismos programas (navegador, planilla, editor) en ambos SO; anotar MB por proceso y total.</t>
  </si>
  <si>
    <t xml:space="preserve">evidencia/sprint3/pruebas/122_prueba_memoria_mismos.md</t>
  </si>
  <si>
    <t xml:space="preserve">Prueba: espacio en disco tras la instalación (ambos clientes)</t>
  </si>
  <si>
    <t xml:space="preserve">Medir los GB usados en disco tras instalar el sistema y el software de cada cliente.</t>
  </si>
  <si>
    <t xml:space="preserve">Medir GB usados luego de instalar SO y software del cliente.</t>
  </si>
  <si>
    <t xml:space="preserve">evidencia/sprint3/pruebas/123_prueba_espacio_disco.md</t>
  </si>
  <si>
    <t xml:space="preserve">Prueba: avisos de seguridad y soporte de actualizaciones (ambos clientes)</t>
  </si>
  <si>
    <t xml:space="preserve">Descargar un instalador de prueba, registrar si cada sistema muestra aviso de seguridad y anotar los años de soporte de actualizaciones.</t>
  </si>
  <si>
    <t xml:space="preserve">Descargar un instalador de prueba y registrar si hay aviso en cada SO; anotar años de soporte publicados por el fabricante (fuente oficial con fecha).</t>
  </si>
  <si>
    <t xml:space="preserve">evidencia/sprint3/pruebas/124_prueba_avisos_seguridad.md</t>
  </si>
  <si>
    <t xml:space="preserve">CA-04, CA-10 · CB-09</t>
  </si>
  <si>
    <t xml:space="preserve">Prueba de impresión: pasos, tiempo y registro (ambos clientes y ambos sistemas)</t>
  </si>
  <si>
    <t xml:space="preserve">Imprimir con el mismo procedimiento y la misma planilla en ambos clientes y sistemas, registrando pasos, tiempo y registro de impresión.</t>
  </si>
  <si>
    <t xml:space="preserve">Mismo procedimiento y misma planilla para Estudio y Universidad.</t>
  </si>
  <si>
    <t xml:space="preserve">evidencia/sprint3/impresion/125_prueba_impresion_pasos.md</t>
  </si>
  <si>
    <t xml:space="preserve">CA-08 · CB-10</t>
  </si>
  <si>
    <t xml:space="preserve">Comparar almacenamiento en la nube con permisos locales por usuario (Universidad)</t>
  </si>
  <si>
    <t xml:space="preserve">Comparar el almacenamiento en la nube con permisos locales por usuario para la Universidad (precio educativo, permisos y facilidad).</t>
  </si>
  <si>
    <t xml:space="preserve">Tabla comparativa con precio educativo vigente (fuente y fecha), permisos y facilidad de administración. Mismo formato que la comparación del Estudio.</t>
  </si>
  <si>
    <t xml:space="preserve">evidencia/sprint3/almacenamiento/126_comparar_almacenamiento_nube.md</t>
  </si>
  <si>
    <t xml:space="preserve">Definir modalidad de compra de la Universidad (licitación o compra directa) y cotizar 3 opciones</t>
  </si>
  <si>
    <t xml:space="preserve">Definir la modalidad de compra de la Universidad (licitación o compra directa) y cotizar tres opciones; queda como SUPUESTO a validar.</t>
  </si>
  <si>
    <t xml:space="preserve">Tabla de 3 opciones con precio, fuente y fecha; la modalidad queda como SUPUESTO a validar con el cliente.</t>
  </si>
  <si>
    <t xml:space="preserve">evidencia/sprint3/compra/127_definir_modalidad_compra.md</t>
  </si>
  <si>
    <t xml:space="preserve">Comparar SharePoint con permisos locales por usuario (Estudio)</t>
  </si>
  <si>
    <t xml:space="preserve">Comparar SharePoint con permisos locales por usuario para el Estudio (precio, permisos y facilidad de administración).</t>
  </si>
  <si>
    <t xml:space="preserve">Tabla comparativa con precio vigente (fuente y fecha), permisos y facilidad de administración.</t>
  </si>
  <si>
    <t xml:space="preserve">evidencia/sprint3/almacenamiento/128_comparar_sharepoint_permisos.md</t>
  </si>
  <si>
    <t xml:space="preserve">Capítulo 3 del informe: Pruebas</t>
  </si>
  <si>
    <t xml:space="preserve">Redactar el tercer capítulo del informe con la matriz, las capturas y las conclusiones por prueba, separando lo comprobado de lo leído.</t>
  </si>
  <si>
    <t xml:space="preserve">Capítulo con la matriz, capturas y conclusiones por prueba; lo comprobado separado de lo leído.</t>
  </si>
  <si>
    <t xml:space="preserve">evidencia/sprint3/comun/129_capitulo_3_informe.md</t>
  </si>
  <si>
    <t xml:space="preserve">Comparar comandos de terminal equivalentes (ambos sistemas)</t>
  </si>
  <si>
    <t xml:space="preserve">Baja</t>
  </si>
  <si>
    <t xml:space="preserve">Armar una tabla de comandos de terminal equivalentes entre ambos sistemas, con captura de cada uno.</t>
  </si>
  <si>
    <t xml:space="preserve">Tabla de comandos equivalentes con captura de cada uno.</t>
  </si>
  <si>
    <t xml:space="preserve">evidencia/sprint3/pruebas/130_comparar_comandos_terminal.md</t>
  </si>
  <si>
    <t xml:space="preserve">CI: validación automática del informe con GitHub Actions</t>
  </si>
  <si>
    <t xml:space="preserve">2026-10-30</t>
  </si>
  <si>
    <t xml:space="preserve">Configurar un workflow de GitHub Actions que valide el informe (estructura de archivos y formato) en cada PR a main.</t>
  </si>
  <si>
    <t xml:space="preserve">Workflow que corre en cada PR a main y verifica estructura de archivos, formato Markdown y enlaces; PR con check en rojo no se fusiona.</t>
  </si>
  <si>
    <t xml:space="preserve">evidencia/sprint4/equipo/131_ci_validacion_automatica.md</t>
  </si>
  <si>
    <t xml:space="preserve">Ficha de coevaluación de los compañeros del equipo</t>
  </si>
  <si>
    <t xml:space="preserve">Completar la ficha de coevaluación de cada integrante del equipo y entregarla junto con el informe final.</t>
  </si>
  <si>
    <t xml:space="preserve">Ficha completada por cada integrante, entregada junto con el informe final.</t>
  </si>
  <si>
    <t xml:space="preserve">evidencia/sprint4/coevaluacion/132_ficha_coevaluacion_companeros.md</t>
  </si>
  <si>
    <t xml:space="preserve">ECM - Informe final y propuesta comercial (Estudio)</t>
  </si>
  <si>
    <t xml:space="preserve">Agrupa la recomendación final, la presentación y el PDF del proyecto para el Estudio.</t>
  </si>
  <si>
    <t xml:space="preserve">Recomendación con 3 razones, evidencia y anexo; presentación y PDF del proyecto.</t>
  </si>
  <si>
    <t xml:space="preserve">#22</t>
  </si>
  <si>
    <t xml:space="preserve">Presentación de la propuesta (PPT)</t>
  </si>
  <si>
    <t xml:space="preserve">Preparar una presentación de 5 minutos con la recomendación para cada cliente.</t>
  </si>
  <si>
    <t xml:space="preserve">Presentación de 5 minutos con la recomendación para cada cliente.</t>
  </si>
  <si>
    <t xml:space="preserve">evidencia/sprint4/informe/134_presentacion_propuesta_ppt.md</t>
  </si>
  <si>
    <t xml:space="preserve">#30</t>
  </si>
  <si>
    <t xml:space="preserve">Documento PDF con el detalle del proyecto</t>
  </si>
  <si>
    <t xml:space="preserve">Generar el PDF con el detalle del proyecto (carátula, índice y anexo) a partir del informe.</t>
  </si>
  <si>
    <t xml:space="preserve">PDF generado desde el informe, con carátula, índice y anexo.</t>
  </si>
  <si>
    <t xml:space="preserve">evidencia/sprint4/informe/135_documento_pdf_detalle.md</t>
  </si>
  <si>
    <t xml:space="preserve">#31</t>
  </si>
  <si>
    <t xml:space="preserve">Recomendación y tres razones: Estudio</t>
  </si>
  <si>
    <t xml:space="preserve">Escribir la recomendación para el Estudio: conclusión primero, tres razones y la evidencia, coherente con la matriz.</t>
  </si>
  <si>
    <t xml:space="preserve">Conclusión primero, 3 razones, evidencia y anexo; resultado coherente con la matriz.</t>
  </si>
  <si>
    <t xml:space="preserve">evidencia/sprint4/informe/136_recomendacion_tres_razones.md</t>
  </si>
  <si>
    <t xml:space="preserve">Costos del primer año y riesgos por cliente</t>
  </si>
  <si>
    <t xml:space="preserve">Calcular los costos del primer año y los riesgos de cada cliente (probabilidad, impacto y respuesta).</t>
  </si>
  <si>
    <t xml:space="preserve">Costos con fuente y fecha, incluida la nube; riesgos con probabilidad, impacto y respuesta.</t>
  </si>
  <si>
    <t xml:space="preserve">evidencia/sprint4/informe/137_costos_primer_ano.md</t>
  </si>
  <si>
    <t xml:space="preserve">LUP - Informe final y propuesta comercial (Universidad)</t>
  </si>
  <si>
    <t xml:space="preserve">Agrupa la recomendación final, la presentación y el PDF del proyecto para la Universidad.</t>
  </si>
  <si>
    <t xml:space="preserve">Recomendación y tres razones: Universidad</t>
  </si>
  <si>
    <t xml:space="preserve">Escribir la recomendación para la Universidad: conclusión primero, tres razones y la evidencia, coherente con la matriz.</t>
  </si>
  <si>
    <t xml:space="preserve">evidencia/sprint4/informe/139_recomendacion_tres_razones.md</t>
  </si>
  <si>
    <t xml:space="preserve">Instalación de equipos del Estudio y migración del servidor a la nube</t>
  </si>
  <si>
    <t xml:space="preserve">Planificar la instalación de los equipos del Estudio y la migración del servidor a la nube, con orden, tiempos y responsables.</t>
  </si>
  <si>
    <t xml:space="preserve">Plan de despliegue: orden, tiempos y responsables; migración con restauración de la base probada y plan de vuelta atrás.</t>
  </si>
  <si>
    <t xml:space="preserve">evidencia/sprint4/despliegue/140_instalacion_equipos_estudio.md</t>
  </si>
  <si>
    <t xml:space="preserve">#29</t>
  </si>
  <si>
    <t xml:space="preserve">Instalación de equipos de la Universidad y migración del servidor a la nube</t>
  </si>
  <si>
    <t xml:space="preserve">Planificar la instalación de los 25 equipos de la Universidad y la migración del servidor a la nube.</t>
  </si>
  <si>
    <t xml:space="preserve">Plan de despliegue: orden, tiempos y responsables; migración probada y plan de vuelta atrás. Misma estructura que el Estudio.</t>
  </si>
  <si>
    <t xml:space="preserve">evidencia/sprint4/despliegue/141_instalacion_equipos_universidad.md</t>
  </si>
  <si>
    <t xml:space="preserve">CD: armado automático del informe y versión estable</t>
  </si>
  <si>
    <t xml:space="preserve">Configurar un workflow que genere el PDF del informe al fusionar a main y publique una versión con tag.</t>
  </si>
  <si>
    <t xml:space="preserve">Workflow que genera PDF al fusionar a main y publica un release con tag.</t>
  </si>
  <si>
    <t xml:space="preserve">evidencia/sprint4/equipo/142_cd_armado_automatico.md</t>
  </si>
  <si>
    <t xml:space="preserve">Evaluar herramientas ágiles y velocidad del equipo</t>
  </si>
  <si>
    <t xml:space="preserve">Evaluar la velocidad del equipo (puntos por sprint) y el uso de GitHub y las dailies, y sacar lecciones sobre la estimación.</t>
  </si>
  <si>
    <t xml:space="preserve">Puntos completados por sprint; valoración de GitHub y de las dailies; lecciones sobre estimaciones e imprevistos.</t>
  </si>
  <si>
    <t xml:space="preserve">evidencia/sprint4/equipo/143_evaluar_herramientas_agiles.md</t>
  </si>
  <si>
    <t xml:space="preserve">Ensayar con las preguntas del cliente</t>
  </si>
  <si>
    <t xml:space="preserve">Ensayar las respuestas a preguntas típicas del cliente: «mi personal no sabe informática», «¿cuánto cuesta el primer año?» y «¿qué pasa si falla?».</t>
  </si>
  <si>
    <t xml:space="preserve">Responder: 'mi personal no sabe informática', '¿cuánto cuesta el primer año?' y '¿qué pasa si falla un martes a las 9?'.</t>
  </si>
  <si>
    <t xml:space="preserve">evidencia/sprint4/equipo/144_ensayar_preguntas_cliente.md</t>
  </si>
  <si>
    <t xml:space="preserve">Plan de primer día y capacitación (Estudio)</t>
  </si>
  <si>
    <t xml:space="preserve">Preparar la agenda del primer día y la capacitación del personal del Estudio, con duración y responsables.</t>
  </si>
  <si>
    <t xml:space="preserve">Agenda del primer día y capacitación con duración y responsables.</t>
  </si>
  <si>
    <t xml:space="preserve">evidencia/sprint4/informe/145_plan_primer_dia.md</t>
  </si>
  <si>
    <t xml:space="preserve">Plan de soporte y contingencia (ambos clientes)</t>
  </si>
  <si>
    <t xml:space="preserve">Definir el plan de soporte y contingencia: quién atiende, en cuánto tiempo y qué se hace si falla la nube o un equipo.</t>
  </si>
  <si>
    <t xml:space="preserve">Quién atiende, en cuánto tiempo y qué se hace si falla la nube o un equipo.</t>
  </si>
  <si>
    <t xml:space="preserve">evidencia/sprint4/informe/146_plan_soporte_contingencia.md</t>
  </si>
  <si>
    <t xml:space="preserve">Plan de primer día y capacitación (Universidad)</t>
  </si>
  <si>
    <t xml:space="preserve">Preparar la agenda del primer día de clases con el sistema nuevo y la capacitación a docentes y personal.</t>
  </si>
  <si>
    <t xml:space="preserve">Agenda del primer día de clases con el sistema nuevo y capacitación a docentes y personal.</t>
  </si>
  <si>
    <t xml:space="preserve">evidencia/sprint4/informe/147_plan_primer_dia.md</t>
  </si>
  <si>
    <t xml:space="preserve">Costo mensual y primer año de la nube (ambos clientes)</t>
  </si>
  <si>
    <t xml:space="preserve">Calcular el costo mensual y anual de la nube por cliente con precio vigente, fuente y fecha.</t>
  </si>
  <si>
    <t xml:space="preserve">Costo mensual y anual por cliente con precio vigente, fuente y fecha; incluido en la matriz de costos.</t>
  </si>
  <si>
    <t xml:space="preserve">evidencia/sprint4/costos/148_costo_mensual_primer.md</t>
  </si>
  <si>
    <t xml:space="preserve">Coordinar la instalación en sitio en la Universidad (accesos, horarios fuera de clase)</t>
  </si>
  <si>
    <t xml:space="preserve">Coordinar el acceso a la sala, la ventana horaria sin clases y las personas necesarias para instalar en sitio los 25 equipos.</t>
  </si>
  <si>
    <t xml:space="preserve">Plan de acceso a la sala, ventana horaria sin clases y personas necesarias, para instalar en sitio los 25 equipos.</t>
  </si>
  <si>
    <t xml:space="preserve">evidencia/sprint4/sitio/149_coordinar_instalacion_sitio.md</t>
  </si>
  <si>
    <t xml:space="preserve">Coordinar asistencia y estadía de dos recursos en Tierra del Fuego</t>
  </si>
  <si>
    <t xml:space="preserve">140</t>
  </si>
  <si>
    <t xml:space="preserve">Planificar la asistencia y estadía de dos recursos en Tierra del Fuego: pasajes, alojamiento y costos.</t>
  </si>
  <si>
    <t xml:space="preserve">Plan logístico (jueves a lunes, entre el 8 y el 25 del mes) con pasajes, alojamiento y costos.</t>
  </si>
  <si>
    <t xml:space="preserve">evidencia/sprint4/viaje/150_coordinar_asistencia_estadia.md</t>
  </si>
  <si>
    <t xml:space="preserve">#27</t>
  </si>
  <si>
    <t xml:space="preserve">Retrospectiva final</t>
  </si>
  <si>
    <t xml:space="preserve">Reunir al equipo para analizar qué funcionó, qué no y qué haríamos distinto, y registrarlo en el repositorio.</t>
  </si>
  <si>
    <t xml:space="preserve">Qué funcionó, qué no y qué haríamos distinto; registrada en el repo.</t>
  </si>
  <si>
    <t xml:space="preserve">evidencia/sprint4/equipo/151_retrospectiva_final.md</t>
  </si>
  <si>
    <t xml:space="preserve">Total story points (las épicas se superponen con sus hijas)</t>
  </si>
  <si>
    <t xml:space="preserve">Puntos solo del Estudio (A)</t>
  </si>
  <si>
    <t xml:space="preserve">Puntos solo de la Universidad (B)</t>
  </si>
  <si>
    <t xml:space="preserve">Origen: Existente = estaba en el backlog del grupo; Modificado = estaba y se cambió su contenido; Agregado = no estaba.</t>
  </si>
  <si>
    <t xml:space="preserve">Tema (los números son el N.º de la hoja Backlog unificado)</t>
  </si>
  <si>
    <t xml:space="preserve">Estudio (A)</t>
  </si>
  <si>
    <t xml:space="preserve">Universidad (B)</t>
  </si>
  <si>
    <t xml:space="preserve">Ambos / Compartido</t>
  </si>
  <si>
    <t xml:space="preserve">Relevamiento y licencias</t>
  </si>
  <si>
    <t xml:space="preserve">33, 34, 35, 36</t>
  </si>
  <si>
    <t xml:space="preserve">37, 38, 39, 45</t>
  </si>
  <si>
    <t xml:space="preserve">61, 101</t>
  </si>
  <si>
    <t xml:space="preserve">Requisitos (historias)</t>
  </si>
  <si>
    <t xml:space="preserve">HU-A01 a HU-A11, CASO A</t>
  </si>
  <si>
    <t xml:space="preserve">HU-B01 a HU-B11, CASO B (42)</t>
  </si>
  <si>
    <t xml:space="preserve">Instalación y software</t>
  </si>
  <si>
    <t xml:space="preserve">66, 67, 74</t>
  </si>
  <si>
    <t xml:space="preserve">59, 60</t>
  </si>
  <si>
    <t xml:space="preserve">51, 52, 73, 71, 72</t>
  </si>
  <si>
    <t xml:space="preserve">Usuarios y permisos</t>
  </si>
  <si>
    <t xml:space="preserve">53, 54, 94</t>
  </si>
  <si>
    <t xml:space="preserve">62, 58, 100</t>
  </si>
  <si>
    <t xml:space="preserve">Impresión</t>
  </si>
  <si>
    <t xml:space="preserve">75, 76, 77, 78</t>
  </si>
  <si>
    <t xml:space="preserve">80, 81, 82, 83</t>
  </si>
  <si>
    <t xml:space="preserve">125</t>
  </si>
  <si>
    <t xml:space="preserve">Estandarización y protección</t>
  </si>
  <si>
    <t xml:space="preserve">63, 64, 65, 110, 85, 111, 128</t>
  </si>
  <si>
    <t xml:space="preserve">55, 56, 57, 98, 79, 99, 126</t>
  </si>
  <si>
    <t xml:space="preserve">Backup</t>
  </si>
  <si>
    <t xml:space="preserve">88, 89</t>
  </si>
  <si>
    <t xml:space="preserve">102, 103</t>
  </si>
  <si>
    <t xml:space="preserve">104</t>
  </si>
  <si>
    <t xml:space="preserve">Servidor en la nube</t>
  </si>
  <si>
    <t xml:space="preserve">112, 113, 114, 140</t>
  </si>
  <si>
    <t xml:space="preserve">115, 116, 117, 141</t>
  </si>
  <si>
    <t xml:space="preserve">148</t>
  </si>
  <si>
    <t xml:space="preserve">Instalación en sitio / viaje</t>
  </si>
  <si>
    <t xml:space="preserve">150</t>
  </si>
  <si>
    <t xml:space="preserve">149</t>
  </si>
  <si>
    <t xml:space="preserve">Pruebas de compatibilidad y aprendizaje</t>
  </si>
  <si>
    <t xml:space="preserve">91, 92</t>
  </si>
  <si>
    <t xml:space="preserve">106, 107</t>
  </si>
  <si>
    <t xml:space="preserve">120, 121, 122, 123, 124, 130, 93</t>
  </si>
  <si>
    <t xml:space="preserve">Informe y decisión</t>
  </si>
  <si>
    <t xml:space="preserve">133, 136, 145</t>
  </si>
  <si>
    <t xml:space="preserve">138, 139, 147</t>
  </si>
  <si>
    <t xml:space="preserve">137, 146, 134, 135</t>
  </si>
  <si>
    <t xml:space="preserve">Tabla comparativa y puntaje ponderado (Sprint 3)</t>
  </si>
  <si>
    <t xml:space="preserve">96</t>
  </si>
  <si>
    <t xml:space="preserve">108</t>
  </si>
  <si>
    <t xml:space="preserve">95</t>
  </si>
  <si>
    <t xml:space="preserve">Conclusión parcial (Sprint 3)</t>
  </si>
  <si>
    <t xml:space="preserve">97</t>
  </si>
  <si>
    <t xml:space="preserve">109</t>
  </si>
  <si>
    <t xml:space="preserve">Issue</t>
  </si>
  <si>
    <t xml:space="preserve">Título actual (limpio)</t>
  </si>
  <si>
    <t xml:space="preserve">Acción</t>
  </si>
  <si>
    <t xml:space="preserve">Resultado</t>
  </si>
  <si>
    <t xml:space="preserve">Título propuesto</t>
  </si>
  <si>
    <t xml:space="preserve">Motivo / detalle</t>
  </si>
  <si>
    <t xml:space="preserve">N.º en el backlog</t>
  </si>
  <si>
    <t xml:space="preserve">Definir recursos para cliente 1</t>
  </si>
  <si>
    <t xml:space="preserve">Renombrar y absorber</t>
  </si>
  <si>
    <t xml:space="preserve">El título dice 'cliente 1' pero el recurso sirve para ambos clientes. Absorbe 'Acordar vía de instalación y quién aporta la máquina'.</t>
  </si>
  <si>
    <t xml:space="preserve">1</t>
  </si>
  <si>
    <t xml:space="preserve">CASO A (tabla PB-01 a PB-12)</t>
  </si>
  <si>
    <t xml:space="preserve">Renombrar y conservar</t>
  </si>
  <si>
    <t xml:space="preserve">Se agrega el CASO B equivalente (42).</t>
  </si>
  <si>
    <t xml:space="preserve">41</t>
  </si>
  <si>
    <t xml:space="preserve">#3</t>
  </si>
  <si>
    <t xml:space="preserve">HU01 - MA - [NOMBRE TAREA]</t>
  </si>
  <si>
    <t xml:space="preserve">Cerrar</t>
  </si>
  <si>
    <t xml:space="preserve">Cerrado</t>
  </si>
  <si>
    <t xml:space="preserve">Plantilla vacía sin contenido.</t>
  </si>
  <si>
    <t xml:space="preserve">HU01 - MA - UTILIDAD, CONTINUIDAD</t>
  </si>
  <si>
    <t xml:space="preserve">Renombrar</t>
  </si>
  <si>
    <t xml:space="preserve">HU-A01 ...</t>
  </si>
  <si>
    <t xml:space="preserve">Todas las historias estaban numeradas HU01; se renumeran HU-A01 a HU-A11 y HU-B01 a HU-B11.</t>
  </si>
  <si>
    <t xml:space="preserve">8</t>
  </si>
  <si>
    <t xml:space="preserve">#5</t>
  </si>
  <si>
    <t xml:space="preserve">HU01 - MA - Acceso correos (texto del sistema contable)</t>
  </si>
  <si>
    <t xml:space="preserve">Cerrar como duplicado</t>
  </si>
  <si>
    <t xml:space="preserve">El texto habla del sistema contable y repite el contenido de #4/#6; el tema correo está en #7.</t>
  </si>
  <si>
    <t xml:space="preserve">HU02 - MA - FUNCIONALIDAD</t>
  </si>
  <si>
    <t xml:space="preserve">HU-A02 ...</t>
  </si>
  <si>
    <t xml:space="preserve">Renumeración.</t>
  </si>
  <si>
    <t xml:space="preserve">9</t>
  </si>
  <si>
    <t xml:space="preserve">HU03 - MA - ACCESO CORREOS</t>
  </si>
  <si>
    <t xml:space="preserve">HU-A03 ...</t>
  </si>
  <si>
    <t xml:space="preserve">10</t>
  </si>
  <si>
    <t xml:space="preserve">HU04 - MA - FIRMA DIGITAL</t>
  </si>
  <si>
    <t xml:space="preserve">HU-A04 ...</t>
  </si>
  <si>
    <t xml:space="preserve">Renumeración; equivalente adaptado en B (HU-B04).</t>
  </si>
  <si>
    <t xml:space="preserve">11</t>
  </si>
  <si>
    <t xml:space="preserve">HU01 - MA - DEFINIR COSTOS</t>
  </si>
  <si>
    <t xml:space="preserve">HU-A05 ...</t>
  </si>
  <si>
    <t xml:space="preserve">12</t>
  </si>
  <si>
    <t xml:space="preserve">HU01 - MA - INTERFAZ INTUITIVA</t>
  </si>
  <si>
    <t xml:space="preserve">HU-A06 ...</t>
  </si>
  <si>
    <t xml:space="preserve">13</t>
  </si>
  <si>
    <t xml:space="preserve">HU01 - MA - SOPORTE TECNICO</t>
  </si>
  <si>
    <t xml:space="preserve">HU-A07 ...</t>
  </si>
  <si>
    <t xml:space="preserve">14</t>
  </si>
  <si>
    <t xml:space="preserve">#12</t>
  </si>
  <si>
    <t xml:space="preserve">HU07 - MA - DUEÑO</t>
  </si>
  <si>
    <t xml:space="preserve">Repite #11 (soporte técnico).</t>
  </si>
  <si>
    <t xml:space="preserve">#13</t>
  </si>
  <si>
    <t xml:space="preserve">HU01-MA- ECONOMISAR pb 5</t>
  </si>
  <si>
    <t xml:space="preserve">Issue vacío; el costo ya está en #9.</t>
  </si>
  <si>
    <t xml:space="preserve">HU01 - UNI - HERRAMIENTAS DE PROGRAMACION</t>
  </si>
  <si>
    <t xml:space="preserve">Era la única historia de la Universidad; se agregan HU-B01 a HU-B10.</t>
  </si>
  <si>
    <t xml:space="preserve">29</t>
  </si>
  <si>
    <t xml:space="preserve">HU09 - MA - Encontrar documentos</t>
  </si>
  <si>
    <t xml:space="preserve">HU-A08 ...</t>
  </si>
  <si>
    <t xml:space="preserve">15</t>
  </si>
  <si>
    <t xml:space="preserve">HU10 - MA - estabilidad</t>
  </si>
  <si>
    <t xml:space="preserve">HU-A09 ...</t>
  </si>
  <si>
    <t xml:space="preserve">El texto menciona configuración estándar: se conserva.</t>
  </si>
  <si>
    <t xml:space="preserve">16</t>
  </si>
  <si>
    <t xml:space="preserve">H1 Disponibilidad (Back Up - empresa)</t>
  </si>
  <si>
    <t xml:space="preserve">17</t>
  </si>
  <si>
    <t xml:space="preserve">ECM - Relevamiento de Hardware y Adquisición de Licencias</t>
  </si>
  <si>
    <t xml:space="preserve">Conservar</t>
  </si>
  <si>
    <t xml:space="preserve">Agregar milestone Sprint 1 y los subissues de la hoja 'Backlog unificado'. Equivalente B: 37.</t>
  </si>
  <si>
    <t xml:space="preserve">ECM - Backup pre-migracion</t>
  </si>
  <si>
    <t xml:space="preserve">Conservar y dividir</t>
  </si>
  <si>
    <t xml:space="preserve">Estimación de 21 puntos es demasiado grande; dividir en 3 subtareas de hasta 8. Equivalente B: 102.</t>
  </si>
  <si>
    <t xml:space="preserve">ECM - Validación de Compatibilidad Nuevo SO</t>
  </si>
  <si>
    <t xml:space="preserve">Probar Windows 11 y Ubuntu, no solo el nuevo SO. Equivalente B: 105.</t>
  </si>
  <si>
    <t xml:space="preserve">ECM - Generación de perfiles de usuarios con permisos diferenciados</t>
  </si>
  <si>
    <t xml:space="preserve">Equivalente B: 62.</t>
  </si>
  <si>
    <t xml:space="preserve">ECM - Elaboración de Informe Final y Propuesta Comercial</t>
  </si>
  <si>
    <t xml:space="preserve">Equivalente B: 138.</t>
  </si>
  <si>
    <t xml:space="preserve">Relevar las 30 computadoras</t>
  </si>
  <si>
    <t xml:space="preserve">Cerrar como hecho</t>
  </si>
  <si>
    <t xml:space="preserve">En el repositorio del grupo este inventario figura como relevado. Equivalente de la Universidad: 38 (25 equipos).</t>
  </si>
  <si>
    <t xml:space="preserve">34</t>
  </si>
  <si>
    <t xml:space="preserve">Solicitar cotización de Licencias (27 licencias W11 business standard)</t>
  </si>
  <si>
    <t xml:space="preserve">Renombrar y corregir</t>
  </si>
  <si>
    <t xml:space="preserve">Son 30 licencias, no 27. 'Business Standard' es de Microsoft 365; Tango exige Windows 11 Pro. Equivalente B: 39.</t>
  </si>
  <si>
    <t xml:space="preserve">35</t>
  </si>
  <si>
    <t xml:space="preserve">Solicitar cotización de 20 computadoras (con y sin licencia)</t>
  </si>
  <si>
    <t xml:space="preserve">Corregir referencia de licencia como en #24. Equivalente B: 45.</t>
  </si>
  <si>
    <t xml:space="preserve">36</t>
  </si>
  <si>
    <t xml:space="preserve">Preparación de USB booteable para instalar W11</t>
  </si>
  <si>
    <t xml:space="preserve">Ampliar</t>
  </si>
  <si>
    <t xml:space="preserve">Se agrega el USB/ISO de Ubuntu (72), necesario para la comparación.</t>
  </si>
  <si>
    <t xml:space="preserve">71</t>
  </si>
  <si>
    <t xml:space="preserve">Coordinar asistencia y estadía de dos recursos</t>
  </si>
  <si>
    <t xml:space="preserve">El viaje no se ejecuta; se entrega el plan con costos. Equivalente B: 149.</t>
  </si>
  <si>
    <t xml:space="preserve">BackUp's de equipos y servidor</t>
  </si>
  <si>
    <t xml:space="preserve">Equivalente B: 103. El servidor ahora es en la nube: el backup incluye su restauración.</t>
  </si>
  <si>
    <t xml:space="preserve">89</t>
  </si>
  <si>
    <t xml:space="preserve">Instalación de equipos y servidor (incluye migración del servidor a nube)</t>
  </si>
  <si>
    <t xml:space="preserve">Dividir</t>
  </si>
  <si>
    <t xml:space="preserve">Se confirma servidor en la nube; se agregan 113, 114 y 148. Equivalente B: 141.</t>
  </si>
  <si>
    <t xml:space="preserve">Presentación de propuesta (PPT)</t>
  </si>
  <si>
    <t xml:space="preserve">Debe cubrir ambos clientes.</t>
  </si>
  <si>
    <t xml:space="preserve">134</t>
  </si>
  <si>
    <t xml:space="preserve">Documento PDF detalle el proyecto</t>
  </si>
  <si>
    <t xml:space="preserve">Se genera automáticamente con el CD.</t>
  </si>
  <si>
    <t xml:space="preserve">135</t>
  </si>
  <si>
    <t xml:space="preserve">ECM - Instalación de Isla de Impresión</t>
  </si>
  <si>
    <t xml:space="preserve">Equivalente B: #38.</t>
  </si>
  <si>
    <t xml:space="preserve">Relevar impresoras</t>
  </si>
  <si>
    <t xml:space="preserve">Equivalente B: 81.</t>
  </si>
  <si>
    <t xml:space="preserve">76</t>
  </si>
  <si>
    <t xml:space="preserve">Identificar equipos y fijar IP's</t>
  </si>
  <si>
    <t xml:space="preserve">Equivalente B: 82.</t>
  </si>
  <si>
    <t xml:space="preserve">77</t>
  </si>
  <si>
    <t xml:space="preserve">Disponibilizar impresoras en equipos</t>
  </si>
  <si>
    <t xml:space="preserve">Equivalente B: 83.</t>
  </si>
  <si>
    <t xml:space="preserve">78</t>
  </si>
  <si>
    <t xml:space="preserve">LUP - Estandarización y protección del parque informático</t>
  </si>
  <si>
    <t xml:space="preserve">Equivalente A: 63.</t>
  </si>
  <si>
    <t xml:space="preserve">LUP - Estandarización de software para estudiantes</t>
  </si>
  <si>
    <t xml:space="preserve">Equivalente A: 66.</t>
  </si>
  <si>
    <t xml:space="preserve">LUP - Isla de impresión</t>
  </si>
  <si>
    <t xml:space="preserve">Faltaban sus tres subtareas: 81, 82 y 83.</t>
  </si>
  <si>
    <t xml:space="preserve">[ ] ST-01</t>
  </si>
  <si>
    <t xml:space="preserve">Equivalente A: 64.</t>
  </si>
  <si>
    <t xml:space="preserve">56</t>
  </si>
  <si>
    <t xml:space="preserve">[ ] ST-02</t>
  </si>
  <si>
    <t xml:space="preserve">Equivalente A: 65.</t>
  </si>
  <si>
    <t xml:space="preserve">57</t>
  </si>
  <si>
    <t xml:space="preserve">[ ] ST-03</t>
  </si>
  <si>
    <t xml:space="preserve">Equivalente A: 110.</t>
  </si>
  <si>
    <t xml:space="preserve">98</t>
  </si>
  <si>
    <t xml:space="preserve">[ ] ST-04</t>
  </si>
  <si>
    <t xml:space="preserve">Equivalente A: 85.</t>
  </si>
  <si>
    <t xml:space="preserve">79</t>
  </si>
  <si>
    <t xml:space="preserve">[ ] ST-05</t>
  </si>
  <si>
    <t xml:space="preserve">Equivalente A: 111.</t>
  </si>
  <si>
    <t xml:space="preserve">99</t>
  </si>
  <si>
    <t xml:space="preserve">Estudio Contable (Cliente A)</t>
  </si>
  <si>
    <t xml:space="preserve">Código</t>
  </si>
  <si>
    <t xml:space="preserve">Criterio</t>
  </si>
  <si>
    <t xml:space="preserve">Unidad</t>
  </si>
  <si>
    <t xml:space="preserve">Cómo lo medimos</t>
  </si>
  <si>
    <t xml:space="preserve">Peso (%)</t>
  </si>
  <si>
    <t xml:space="preserve">Por qué pesa así</t>
  </si>
  <si>
    <t xml:space="preserve">Compartido con el otro cliente</t>
  </si>
  <si>
    <t xml:space="preserve">Compatibilidad con Tango, planillas, correo y firma digital</t>
  </si>
  <si>
    <t xml:space="preserve">Funciones OK / probadas</t>
  </si>
  <si>
    <t xml:space="preserve">Prueba funcional en cada sistema. Lo que no se pueda probar se marca 'leído, no comprobado' con la fuente.</t>
  </si>
  <si>
    <t xml:space="preserve">Si Tango o la firma digital no funcionan, el estudio no puede operar.</t>
  </si>
  <si>
    <t xml:space="preserve">No</t>
  </si>
  <si>
    <t xml:space="preserve">Costo total del primer año (30 equipos y servidor en la nube)</t>
  </si>
  <si>
    <t xml:space="preserve">ARS o USD</t>
  </si>
  <si>
    <t xml:space="preserve">Suma de licencias, soporte, capacitación y nube con precio oficial vigente, fuente y fecha.</t>
  </si>
  <si>
    <t xml:space="preserve">Es una de las dos preocupaciones explícitas del dueño.</t>
  </si>
  <si>
    <t xml:space="preserve">Sí</t>
  </si>
  <si>
    <t xml:space="preserve">Curva de aprendizaje</t>
  </si>
  <si>
    <t xml:space="preserve">Minutos y ayudas</t>
  </si>
  <si>
    <t xml:space="preserve">Una persona sin formación hace 5 tareas habituales en cada sistema; se cronometra y se cuentan las ayudas.</t>
  </si>
  <si>
    <t xml:space="preserve">El dueño no quiere que su gente pierda una semana aprendiendo.</t>
  </si>
  <si>
    <t xml:space="preserve">Años de actualizaciones de seguridad</t>
  </si>
  <si>
    <t xml:space="preserve">Años</t>
  </si>
  <si>
    <t xml:space="preserve">Fecha de fin de soporte publicada por el fabricante, con fuente oficial y fecha de consulta.</t>
  </si>
  <si>
    <t xml:space="preserve">Equipos con datos de clientes no pueden quedar sin parches.</t>
  </si>
  <si>
    <t xml:space="preserve">Separación de archivos entre usuarios</t>
  </si>
  <si>
    <t xml:space="preserve">Acciones denegadas de 3</t>
  </si>
  <si>
    <t xml:space="preserve">Con el usuario 2 se intenta abrir, modificar y borrar un archivo del usuario 1.</t>
  </si>
  <si>
    <t xml:space="preserve">Cada empleado maneja información reservada.</t>
  </si>
  <si>
    <t xml:space="preserve">Recuperación ante falla o migración</t>
  </si>
  <si>
    <t xml:space="preserve">Minutos</t>
  </si>
  <si>
    <t xml:space="preserve">Tiempo para restaurar un equipo y el servidor en la nube desde backup o imagen hasta quedar operativos.</t>
  </si>
  <si>
    <t xml:space="preserve">Responde a '¿qué pasa si falla un martes a las 9?'.</t>
  </si>
  <si>
    <t xml:space="preserve">Despliegue por equipo</t>
  </si>
  <si>
    <t xml:space="preserve">Minutos por equipo</t>
  </si>
  <si>
    <t xml:space="preserve">Tiempo de instalación con imagen estándar, cronometrado de principio a fin.</t>
  </si>
  <si>
    <t xml:space="preserve">Son 30 equipos y pocos días de trabajo.</t>
  </si>
  <si>
    <t xml:space="preserve">Conectar una impresora nueva</t>
  </si>
  <si>
    <t xml:space="preserve">Pasos</t>
  </si>
  <si>
    <t xml:space="preserve">Cantidad de pasos y minutos desde cero, con captura de cada pantalla.</t>
  </si>
  <si>
    <t xml:space="preserve">Se imprime a diario, pero la tarea es acotada.</t>
  </si>
  <si>
    <t xml:space="preserve">CA-09</t>
  </si>
  <si>
    <t xml:space="preserve">Tiempo de arranque</t>
  </si>
  <si>
    <t xml:space="preserve">Segundos (mediana de 3)</t>
  </si>
  <si>
    <t xml:space="preserve">Cronómetro desde el encendido hasta poder abrir un programa.</t>
  </si>
  <si>
    <t xml:space="preserve">Impacta cada mañana, aunque menos que el resto.</t>
  </si>
  <si>
    <t xml:space="preserve">CA-10</t>
  </si>
  <si>
    <t xml:space="preserve">Aviso antes de ejecutar un programa descargado</t>
  </si>
  <si>
    <t xml:space="preserve">Sí / No</t>
  </si>
  <si>
    <t xml:space="preserve">Se descarga un instalador de prueba y se registra si el sistema avisa.</t>
  </si>
  <si>
    <t xml:space="preserve">Protege a usuarios sin formación informática.</t>
  </si>
  <si>
    <t xml:space="preserve">Total (debe ser 100)</t>
  </si>
  <si>
    <t xml:space="preserve">Universidad - Laboratorio de informática (Cliente B)</t>
  </si>
  <si>
    <t xml:space="preserve">Restauración del estado original</t>
  </si>
  <si>
    <t xml:space="preserve">Minutos y cambios revertidos</t>
  </si>
  <si>
    <t xml:space="preserve">Se instalan y borran programas y archivos, se restaura con la herramienta elegida y se verifica.</t>
  </si>
  <si>
    <t xml:space="preserve">Es la frase central del cliente: 'como las dejé el viernes'.</t>
  </si>
  <si>
    <t xml:space="preserve">Costo del primer año (25 equipos y servidor en la nube)</t>
  </si>
  <si>
    <t xml:space="preserve">Precio oficial vigente de sistema, software y nube, con fuente y fecha.</t>
  </si>
  <si>
    <t xml:space="preserve">El presupuesto no alcanza para licencias caras.</t>
  </si>
  <si>
    <t xml:space="preserve">Aislamiento entre usuarios</t>
  </si>
  <si>
    <t xml:space="preserve">Cientos de estudiantes comparten los equipos.</t>
  </si>
  <si>
    <t xml:space="preserve">Compatibilidad con el software de las materias</t>
  </si>
  <si>
    <t xml:space="preserve">Programas OK / requeridos</t>
  </si>
  <si>
    <t xml:space="preserve">Instalación y ejecución de las herramientas de programación, bases de datos, diseño y ofimática.</t>
  </si>
  <si>
    <t xml:space="preserve">Cada materia pide software distinto.</t>
  </si>
  <si>
    <t xml:space="preserve">Administración de usuarios</t>
  </si>
  <si>
    <t xml:space="preserve">Minutos para crear 20 usuarios</t>
  </si>
  <si>
    <t xml:space="preserve">Se crean 20 usuarios y se asignan a un grupo por terminal; se cronometra.</t>
  </si>
  <si>
    <t xml:space="preserve">Hay decenas de usuarios distintos por administrar.</t>
  </si>
  <si>
    <t xml:space="preserve">Memoria RAM en reposo</t>
  </si>
  <si>
    <t xml:space="preserve">MB</t>
  </si>
  <si>
    <t xml:space="preserve">Get-Counter o free -m tras 5 minutos sin tocar nada.</t>
  </si>
  <si>
    <t xml:space="preserve">Los equipos pueden ser modestos.</t>
  </si>
  <si>
    <t xml:space="preserve">CB-07</t>
  </si>
  <si>
    <t xml:space="preserve">Cada clase empieza con la sala encendida.</t>
  </si>
  <si>
    <t xml:space="preserve">Instalación de herramientas de programación</t>
  </si>
  <si>
    <t xml:space="preserve">Se cronometra la instalación de compilador, editor y base de datos.</t>
  </si>
  <si>
    <t xml:space="preserve">Los estudiantes instalan sus propias herramientas.</t>
  </si>
  <si>
    <t xml:space="preserve">Fecha de fin de soporte publicada por el fabricante, con fuente y fecha de consulta.</t>
  </si>
  <si>
    <t xml:space="preserve">Importa, pero la sala se restaura con frecuencia.</t>
  </si>
  <si>
    <t xml:space="preserve">Registro de impresión por usuario</t>
  </si>
  <si>
    <t xml:space="preserve">Impresiones registradas</t>
  </si>
  <si>
    <t xml:space="preserve">Dos usuarios imprimen y se revisa el registro de la cola.</t>
  </si>
  <si>
    <t xml:space="preserve">Control del uso de la isla de impresión.</t>
  </si>
  <si>
    <t xml:space="preserve">Cada cliente tiene 10 criterios; comparten 4 (costo, años de actualizaciones, aislamiento entre usuarios y tiempo de arranque) con pesos distintos. Los pesos son una propuesta del equipo y se validan en la entrevista con cada cliente.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</si>
</sst>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E2F0D9"/>
        <bgColor rgb="FFE2EFDA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2F0D9"/>
      </patternFill>
    </fill>
    <fill>
      <patternFill patternType="solid">
        <fgColor rgb="FFFFFFFF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8CBAD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E2F0D9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6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5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80"/>
    <col collapsed="false" customWidth="true" hidden="false" outlineLevel="0" max="13" min="13" style="0" width="70"/>
    <col collapsed="false" customWidth="true" hidden="false" outlineLevel="0" max="14" min="14" style="0" width="30"/>
    <col collapsed="false" customWidth="true" hidden="false" outlineLevel="0" max="15" min="15" style="0" width="14"/>
    <col collapsed="false" customWidth="true" hidden="false" outlineLevel="0" max="16" min="16" style="0" width="11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35.05" hidden="false" customHeight="false" outlineLevel="0" collapsed="false">
      <c r="A2" s="2" t="n">
        <v>1</v>
      </c>
      <c r="B2" s="3" t="s">
        <v>16</v>
      </c>
      <c r="C2" s="2" t="s">
        <v>17</v>
      </c>
      <c r="D2" s="2" t="s">
        <v>18</v>
      </c>
      <c r="E2" s="2"/>
      <c r="F2" s="4" t="s">
        <v>19</v>
      </c>
      <c r="G2" s="2" t="n">
        <v>1</v>
      </c>
      <c r="H2" s="2" t="s">
        <v>20</v>
      </c>
      <c r="I2" s="2" t="n">
        <v>3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/>
      <c r="P2" s="2" t="s">
        <v>26</v>
      </c>
    </row>
    <row r="3" customFormat="false" ht="23.85" hidden="false" customHeight="false" outlineLevel="0" collapsed="false">
      <c r="A3" s="2" t="n">
        <v>2</v>
      </c>
      <c r="B3" s="5" t="s">
        <v>27</v>
      </c>
      <c r="C3" s="2" t="s">
        <v>28</v>
      </c>
      <c r="D3" s="2" t="s">
        <v>18</v>
      </c>
      <c r="E3" s="2"/>
      <c r="F3" s="4" t="s">
        <v>19</v>
      </c>
      <c r="G3" s="2" t="n">
        <v>1</v>
      </c>
      <c r="H3" s="2" t="s">
        <v>20</v>
      </c>
      <c r="I3" s="2" t="n">
        <v>2</v>
      </c>
      <c r="J3" s="2" t="s">
        <v>21</v>
      </c>
      <c r="K3" s="2" t="s">
        <v>22</v>
      </c>
      <c r="L3" s="2" t="s">
        <v>29</v>
      </c>
      <c r="M3" s="2" t="s">
        <v>30</v>
      </c>
      <c r="N3" s="2" t="s">
        <v>31</v>
      </c>
      <c r="O3" s="2"/>
      <c r="P3" s="2"/>
    </row>
    <row r="4" customFormat="false" ht="23.85" hidden="false" customHeight="false" outlineLevel="0" collapsed="false">
      <c r="A4" s="2" t="n">
        <v>3</v>
      </c>
      <c r="B4" s="5" t="s">
        <v>27</v>
      </c>
      <c r="C4" s="2" t="s">
        <v>32</v>
      </c>
      <c r="D4" s="2" t="s">
        <v>18</v>
      </c>
      <c r="E4" s="2"/>
      <c r="F4" s="4" t="s">
        <v>19</v>
      </c>
      <c r="G4" s="2" t="n">
        <v>1</v>
      </c>
      <c r="H4" s="2" t="s">
        <v>20</v>
      </c>
      <c r="I4" s="2" t="n">
        <v>2</v>
      </c>
      <c r="J4" s="2" t="s">
        <v>21</v>
      </c>
      <c r="K4" s="2" t="s">
        <v>22</v>
      </c>
      <c r="L4" s="2" t="s">
        <v>33</v>
      </c>
      <c r="M4" s="2" t="s">
        <v>34</v>
      </c>
      <c r="N4" s="2" t="s">
        <v>35</v>
      </c>
      <c r="O4" s="2"/>
      <c r="P4" s="2"/>
    </row>
    <row r="5" customFormat="false" ht="23.85" hidden="false" customHeight="false" outlineLevel="0" collapsed="false">
      <c r="A5" s="2" t="n">
        <v>4</v>
      </c>
      <c r="B5" s="5" t="s">
        <v>27</v>
      </c>
      <c r="C5" s="2" t="s">
        <v>36</v>
      </c>
      <c r="D5" s="2" t="s">
        <v>18</v>
      </c>
      <c r="E5" s="2"/>
      <c r="F5" s="4" t="s">
        <v>19</v>
      </c>
      <c r="G5" s="2" t="n">
        <v>1</v>
      </c>
      <c r="H5" s="2" t="s">
        <v>20</v>
      </c>
      <c r="I5" s="2" t="n">
        <v>1</v>
      </c>
      <c r="J5" s="2" t="s">
        <v>21</v>
      </c>
      <c r="K5" s="2" t="s">
        <v>22</v>
      </c>
      <c r="L5" s="2" t="s">
        <v>37</v>
      </c>
      <c r="M5" s="2" t="s">
        <v>38</v>
      </c>
      <c r="N5" s="2" t="s">
        <v>39</v>
      </c>
      <c r="O5" s="2"/>
      <c r="P5" s="2"/>
    </row>
    <row r="6" customFormat="false" ht="23.85" hidden="false" customHeight="false" outlineLevel="0" collapsed="false">
      <c r="A6" s="2" t="n">
        <v>5</v>
      </c>
      <c r="B6" s="5" t="s">
        <v>27</v>
      </c>
      <c r="C6" s="2" t="s">
        <v>40</v>
      </c>
      <c r="D6" s="2" t="s">
        <v>18</v>
      </c>
      <c r="E6" s="2"/>
      <c r="F6" s="4" t="s">
        <v>19</v>
      </c>
      <c r="G6" s="2" t="n">
        <v>1</v>
      </c>
      <c r="H6" s="2" t="s">
        <v>20</v>
      </c>
      <c r="I6" s="2" t="n">
        <v>2</v>
      </c>
      <c r="J6" s="2" t="s">
        <v>21</v>
      </c>
      <c r="K6" s="2" t="s">
        <v>22</v>
      </c>
      <c r="L6" s="2" t="s">
        <v>41</v>
      </c>
      <c r="M6" s="2" t="s">
        <v>42</v>
      </c>
      <c r="N6" s="2" t="s">
        <v>43</v>
      </c>
      <c r="O6" s="2"/>
      <c r="P6" s="2"/>
    </row>
    <row r="7" customFormat="false" ht="35.05" hidden="false" customHeight="false" outlineLevel="0" collapsed="false">
      <c r="A7" s="2" t="n">
        <v>6</v>
      </c>
      <c r="B7" s="5" t="s">
        <v>27</v>
      </c>
      <c r="C7" s="2" t="s">
        <v>44</v>
      </c>
      <c r="D7" s="2" t="s">
        <v>18</v>
      </c>
      <c r="E7" s="2"/>
      <c r="F7" s="6" t="s">
        <v>45</v>
      </c>
      <c r="G7" s="2" t="n">
        <v>1</v>
      </c>
      <c r="H7" s="2" t="s">
        <v>20</v>
      </c>
      <c r="I7" s="2" t="n">
        <v>3</v>
      </c>
      <c r="J7" s="2" t="s">
        <v>21</v>
      </c>
      <c r="K7" s="2" t="s">
        <v>22</v>
      </c>
      <c r="L7" s="2" t="s">
        <v>46</v>
      </c>
      <c r="M7" s="2" t="s">
        <v>47</v>
      </c>
      <c r="N7" s="2" t="s">
        <v>48</v>
      </c>
      <c r="O7" s="2"/>
      <c r="P7" s="2"/>
    </row>
    <row r="8" customFormat="false" ht="35.05" hidden="false" customHeight="false" outlineLevel="0" collapsed="false">
      <c r="A8" s="2" t="n">
        <v>7</v>
      </c>
      <c r="B8" s="5" t="s">
        <v>27</v>
      </c>
      <c r="C8" s="2" t="s">
        <v>49</v>
      </c>
      <c r="D8" s="2" t="s">
        <v>18</v>
      </c>
      <c r="E8" s="2"/>
      <c r="F8" s="7" t="s">
        <v>50</v>
      </c>
      <c r="G8" s="2" t="n">
        <v>1</v>
      </c>
      <c r="H8" s="2" t="s">
        <v>20</v>
      </c>
      <c r="I8" s="2" t="n">
        <v>3</v>
      </c>
      <c r="J8" s="2" t="s">
        <v>21</v>
      </c>
      <c r="K8" s="2" t="s">
        <v>22</v>
      </c>
      <c r="L8" s="2" t="s">
        <v>51</v>
      </c>
      <c r="M8" s="2" t="s">
        <v>52</v>
      </c>
      <c r="N8" s="2" t="s">
        <v>53</v>
      </c>
      <c r="O8" s="2"/>
      <c r="P8" s="2"/>
    </row>
    <row r="9" customFormat="false" ht="23.85" hidden="false" customHeight="false" outlineLevel="0" collapsed="false">
      <c r="A9" s="2" t="n">
        <v>8</v>
      </c>
      <c r="B9" s="8" t="s">
        <v>54</v>
      </c>
      <c r="C9" s="2" t="s">
        <v>55</v>
      </c>
      <c r="D9" s="2" t="s">
        <v>56</v>
      </c>
      <c r="E9" s="2"/>
      <c r="F9" s="6" t="s">
        <v>45</v>
      </c>
      <c r="G9" s="2" t="n">
        <v>1</v>
      </c>
      <c r="H9" s="2" t="s">
        <v>20</v>
      </c>
      <c r="I9" s="2" t="n">
        <v>3</v>
      </c>
      <c r="J9" s="2" t="s">
        <v>21</v>
      </c>
      <c r="K9" s="2" t="s">
        <v>22</v>
      </c>
      <c r="L9" s="2" t="s">
        <v>57</v>
      </c>
      <c r="M9" s="2" t="s">
        <v>58</v>
      </c>
      <c r="N9" s="2"/>
      <c r="O9" s="2" t="s">
        <v>59</v>
      </c>
      <c r="P9" s="2" t="s">
        <v>60</v>
      </c>
    </row>
    <row r="10" customFormat="false" ht="35.05" hidden="false" customHeight="false" outlineLevel="0" collapsed="false">
      <c r="A10" s="2" t="n">
        <v>9</v>
      </c>
      <c r="B10" s="8" t="s">
        <v>54</v>
      </c>
      <c r="C10" s="2" t="s">
        <v>61</v>
      </c>
      <c r="D10" s="2" t="s">
        <v>56</v>
      </c>
      <c r="E10" s="2"/>
      <c r="F10" s="6" t="s">
        <v>45</v>
      </c>
      <c r="G10" s="2" t="n">
        <v>1</v>
      </c>
      <c r="H10" s="2" t="s">
        <v>20</v>
      </c>
      <c r="I10" s="2" t="n">
        <v>3</v>
      </c>
      <c r="J10" s="2" t="s">
        <v>21</v>
      </c>
      <c r="K10" s="2" t="s">
        <v>22</v>
      </c>
      <c r="L10" s="2" t="s">
        <v>62</v>
      </c>
      <c r="M10" s="2" t="s">
        <v>58</v>
      </c>
      <c r="N10" s="2"/>
      <c r="O10" s="2" t="s">
        <v>59</v>
      </c>
      <c r="P10" s="2" t="s">
        <v>63</v>
      </c>
    </row>
    <row r="11" customFormat="false" ht="23.85" hidden="false" customHeight="false" outlineLevel="0" collapsed="false">
      <c r="A11" s="2" t="n">
        <v>10</v>
      </c>
      <c r="B11" s="8" t="s">
        <v>54</v>
      </c>
      <c r="C11" s="2" t="s">
        <v>64</v>
      </c>
      <c r="D11" s="2" t="s">
        <v>56</v>
      </c>
      <c r="E11" s="2"/>
      <c r="F11" s="6" t="s">
        <v>45</v>
      </c>
      <c r="G11" s="2" t="n">
        <v>1</v>
      </c>
      <c r="H11" s="2" t="s">
        <v>20</v>
      </c>
      <c r="I11" s="2" t="n">
        <v>3</v>
      </c>
      <c r="J11" s="2" t="s">
        <v>21</v>
      </c>
      <c r="K11" s="2" t="s">
        <v>22</v>
      </c>
      <c r="L11" s="2" t="s">
        <v>65</v>
      </c>
      <c r="M11" s="2" t="s">
        <v>58</v>
      </c>
      <c r="N11" s="2"/>
      <c r="O11" s="2" t="s">
        <v>59</v>
      </c>
      <c r="P11" s="2" t="s">
        <v>66</v>
      </c>
    </row>
    <row r="12" customFormat="false" ht="23.85" hidden="false" customHeight="false" outlineLevel="0" collapsed="false">
      <c r="A12" s="2" t="n">
        <v>11</v>
      </c>
      <c r="B12" s="8" t="s">
        <v>54</v>
      </c>
      <c r="C12" s="2" t="s">
        <v>67</v>
      </c>
      <c r="D12" s="2" t="s">
        <v>56</v>
      </c>
      <c r="E12" s="2"/>
      <c r="F12" s="6" t="s">
        <v>45</v>
      </c>
      <c r="G12" s="2" t="n">
        <v>1</v>
      </c>
      <c r="H12" s="2" t="s">
        <v>20</v>
      </c>
      <c r="I12" s="2" t="n">
        <v>3</v>
      </c>
      <c r="J12" s="2" t="s">
        <v>21</v>
      </c>
      <c r="K12" s="2" t="s">
        <v>22</v>
      </c>
      <c r="L12" s="2" t="s">
        <v>68</v>
      </c>
      <c r="M12" s="2" t="s">
        <v>58</v>
      </c>
      <c r="N12" s="2"/>
      <c r="O12" s="2" t="s">
        <v>69</v>
      </c>
      <c r="P12" s="2" t="s">
        <v>70</v>
      </c>
    </row>
    <row r="13" customFormat="false" ht="23.85" hidden="false" customHeight="false" outlineLevel="0" collapsed="false">
      <c r="A13" s="2" t="n">
        <v>12</v>
      </c>
      <c r="B13" s="8" t="s">
        <v>54</v>
      </c>
      <c r="C13" s="2" t="s">
        <v>71</v>
      </c>
      <c r="D13" s="2" t="s">
        <v>56</v>
      </c>
      <c r="E13" s="2"/>
      <c r="F13" s="6" t="s">
        <v>45</v>
      </c>
      <c r="G13" s="2" t="n">
        <v>1</v>
      </c>
      <c r="H13" s="2" t="s">
        <v>20</v>
      </c>
      <c r="I13" s="2" t="n">
        <v>3</v>
      </c>
      <c r="J13" s="2" t="s">
        <v>21</v>
      </c>
      <c r="K13" s="2" t="s">
        <v>22</v>
      </c>
      <c r="L13" s="2" t="s">
        <v>72</v>
      </c>
      <c r="M13" s="2" t="s">
        <v>58</v>
      </c>
      <c r="N13" s="2"/>
      <c r="O13" s="2" t="s">
        <v>73</v>
      </c>
      <c r="P13" s="2" t="s">
        <v>74</v>
      </c>
    </row>
    <row r="14" customFormat="false" ht="23.85" hidden="false" customHeight="false" outlineLevel="0" collapsed="false">
      <c r="A14" s="2" t="n">
        <v>13</v>
      </c>
      <c r="B14" s="8" t="s">
        <v>54</v>
      </c>
      <c r="C14" s="2" t="s">
        <v>75</v>
      </c>
      <c r="D14" s="2" t="s">
        <v>56</v>
      </c>
      <c r="E14" s="2"/>
      <c r="F14" s="6" t="s">
        <v>45</v>
      </c>
      <c r="G14" s="2" t="n">
        <v>1</v>
      </c>
      <c r="H14" s="2" t="s">
        <v>20</v>
      </c>
      <c r="I14" s="2" t="n">
        <v>3</v>
      </c>
      <c r="J14" s="2" t="s">
        <v>21</v>
      </c>
      <c r="K14" s="2" t="s">
        <v>22</v>
      </c>
      <c r="L14" s="2" t="s">
        <v>76</v>
      </c>
      <c r="M14" s="2" t="s">
        <v>58</v>
      </c>
      <c r="N14" s="2"/>
      <c r="O14" s="2" t="s">
        <v>77</v>
      </c>
      <c r="P14" s="2" t="s">
        <v>78</v>
      </c>
    </row>
    <row r="15" customFormat="false" ht="23.85" hidden="false" customHeight="false" outlineLevel="0" collapsed="false">
      <c r="A15" s="2" t="n">
        <v>14</v>
      </c>
      <c r="B15" s="8" t="s">
        <v>54</v>
      </c>
      <c r="C15" s="2" t="s">
        <v>79</v>
      </c>
      <c r="D15" s="2" t="s">
        <v>56</v>
      </c>
      <c r="E15" s="2"/>
      <c r="F15" s="6" t="s">
        <v>45</v>
      </c>
      <c r="G15" s="2" t="n">
        <v>1</v>
      </c>
      <c r="H15" s="2" t="s">
        <v>20</v>
      </c>
      <c r="I15" s="2" t="n">
        <v>3</v>
      </c>
      <c r="J15" s="2" t="s">
        <v>21</v>
      </c>
      <c r="K15" s="2" t="s">
        <v>22</v>
      </c>
      <c r="L15" s="2" t="s">
        <v>80</v>
      </c>
      <c r="M15" s="2" t="s">
        <v>58</v>
      </c>
      <c r="N15" s="2"/>
      <c r="O15" s="2" t="s">
        <v>81</v>
      </c>
      <c r="P15" s="2" t="s">
        <v>82</v>
      </c>
    </row>
    <row r="16" customFormat="false" ht="23.85" hidden="false" customHeight="false" outlineLevel="0" collapsed="false">
      <c r="A16" s="2" t="n">
        <v>15</v>
      </c>
      <c r="B16" s="8" t="s">
        <v>54</v>
      </c>
      <c r="C16" s="2" t="s">
        <v>83</v>
      </c>
      <c r="D16" s="2" t="s">
        <v>56</v>
      </c>
      <c r="E16" s="2"/>
      <c r="F16" s="6" t="s">
        <v>45</v>
      </c>
      <c r="G16" s="2" t="n">
        <v>1</v>
      </c>
      <c r="H16" s="2" t="s">
        <v>20</v>
      </c>
      <c r="I16" s="2" t="n">
        <v>3</v>
      </c>
      <c r="J16" s="2" t="s">
        <v>21</v>
      </c>
      <c r="K16" s="2" t="s">
        <v>22</v>
      </c>
      <c r="L16" s="2" t="s">
        <v>84</v>
      </c>
      <c r="M16" s="2" t="s">
        <v>58</v>
      </c>
      <c r="N16" s="2"/>
      <c r="O16" s="2" t="s">
        <v>69</v>
      </c>
      <c r="P16" s="2" t="s">
        <v>85</v>
      </c>
    </row>
    <row r="17" customFormat="false" ht="23.85" hidden="false" customHeight="false" outlineLevel="0" collapsed="false">
      <c r="A17" s="2" t="n">
        <v>16</v>
      </c>
      <c r="B17" s="8" t="s">
        <v>54</v>
      </c>
      <c r="C17" s="2" t="s">
        <v>86</v>
      </c>
      <c r="D17" s="2" t="s">
        <v>56</v>
      </c>
      <c r="E17" s="2"/>
      <c r="F17" s="6" t="s">
        <v>45</v>
      </c>
      <c r="G17" s="2" t="n">
        <v>1</v>
      </c>
      <c r="H17" s="2" t="s">
        <v>20</v>
      </c>
      <c r="I17" s="2" t="n">
        <v>3</v>
      </c>
      <c r="J17" s="2" t="s">
        <v>21</v>
      </c>
      <c r="K17" s="2" t="s">
        <v>22</v>
      </c>
      <c r="L17" s="2" t="s">
        <v>87</v>
      </c>
      <c r="M17" s="2" t="s">
        <v>58</v>
      </c>
      <c r="N17" s="2"/>
      <c r="O17" s="2" t="s">
        <v>88</v>
      </c>
      <c r="P17" s="2" t="s">
        <v>89</v>
      </c>
    </row>
    <row r="18" customFormat="false" ht="23.85" hidden="false" customHeight="false" outlineLevel="0" collapsed="false">
      <c r="A18" s="2" t="n">
        <v>17</v>
      </c>
      <c r="B18" s="8" t="s">
        <v>54</v>
      </c>
      <c r="C18" s="2" t="s">
        <v>90</v>
      </c>
      <c r="D18" s="2" t="s">
        <v>56</v>
      </c>
      <c r="E18" s="2"/>
      <c r="F18" s="6" t="s">
        <v>45</v>
      </c>
      <c r="G18" s="2" t="n">
        <v>1</v>
      </c>
      <c r="H18" s="2" t="s">
        <v>20</v>
      </c>
      <c r="I18" s="2" t="n">
        <v>3</v>
      </c>
      <c r="J18" s="2" t="s">
        <v>21</v>
      </c>
      <c r="K18" s="2" t="s">
        <v>22</v>
      </c>
      <c r="L18" s="2" t="s">
        <v>91</v>
      </c>
      <c r="M18" s="2" t="s">
        <v>58</v>
      </c>
      <c r="N18" s="2"/>
      <c r="O18" s="2" t="s">
        <v>88</v>
      </c>
      <c r="P18" s="2" t="s">
        <v>92</v>
      </c>
    </row>
    <row r="19" customFormat="false" ht="46.25" hidden="false" customHeight="false" outlineLevel="0" collapsed="false">
      <c r="A19" s="2" t="n">
        <v>18</v>
      </c>
      <c r="B19" s="5" t="s">
        <v>27</v>
      </c>
      <c r="C19" s="2" t="s">
        <v>93</v>
      </c>
      <c r="D19" s="2" t="s">
        <v>56</v>
      </c>
      <c r="E19" s="2"/>
      <c r="F19" s="6" t="s">
        <v>45</v>
      </c>
      <c r="G19" s="2" t="n">
        <v>1</v>
      </c>
      <c r="H19" s="2" t="s">
        <v>20</v>
      </c>
      <c r="I19" s="2" t="n">
        <v>3</v>
      </c>
      <c r="J19" s="2" t="s">
        <v>21</v>
      </c>
      <c r="K19" s="2" t="s">
        <v>22</v>
      </c>
      <c r="L19" s="2" t="s">
        <v>94</v>
      </c>
      <c r="M19" s="2" t="s">
        <v>95</v>
      </c>
      <c r="N19" s="2"/>
      <c r="O19" s="2" t="s">
        <v>59</v>
      </c>
      <c r="P19" s="2"/>
    </row>
    <row r="20" customFormat="false" ht="23.85" hidden="false" customHeight="false" outlineLevel="0" collapsed="false">
      <c r="A20" s="2" t="n">
        <v>19</v>
      </c>
      <c r="B20" s="5" t="s">
        <v>27</v>
      </c>
      <c r="C20" s="2" t="s">
        <v>96</v>
      </c>
      <c r="D20" s="2" t="s">
        <v>56</v>
      </c>
      <c r="E20" s="2"/>
      <c r="F20" s="7" t="s">
        <v>50</v>
      </c>
      <c r="G20" s="2" t="n">
        <v>1</v>
      </c>
      <c r="H20" s="2" t="s">
        <v>20</v>
      </c>
      <c r="I20" s="2" t="n">
        <v>3</v>
      </c>
      <c r="J20" s="2" t="s">
        <v>21</v>
      </c>
      <c r="K20" s="2" t="s">
        <v>22</v>
      </c>
      <c r="L20" s="2" t="s">
        <v>97</v>
      </c>
      <c r="M20" s="2" t="s">
        <v>58</v>
      </c>
      <c r="N20" s="2"/>
      <c r="O20" s="2" t="s">
        <v>98</v>
      </c>
      <c r="P20" s="2"/>
    </row>
    <row r="21" customFormat="false" ht="23.85" hidden="false" customHeight="false" outlineLevel="0" collapsed="false">
      <c r="A21" s="2" t="n">
        <v>20</v>
      </c>
      <c r="B21" s="5" t="s">
        <v>27</v>
      </c>
      <c r="C21" s="2" t="s">
        <v>99</v>
      </c>
      <c r="D21" s="2" t="s">
        <v>56</v>
      </c>
      <c r="E21" s="2"/>
      <c r="F21" s="7" t="s">
        <v>50</v>
      </c>
      <c r="G21" s="2" t="n">
        <v>1</v>
      </c>
      <c r="H21" s="2" t="s">
        <v>20</v>
      </c>
      <c r="I21" s="2" t="n">
        <v>3</v>
      </c>
      <c r="J21" s="2" t="s">
        <v>21</v>
      </c>
      <c r="K21" s="2" t="s">
        <v>22</v>
      </c>
      <c r="L21" s="2" t="s">
        <v>100</v>
      </c>
      <c r="M21" s="2" t="s">
        <v>58</v>
      </c>
      <c r="N21" s="2"/>
      <c r="O21" s="2" t="s">
        <v>98</v>
      </c>
      <c r="P21" s="2"/>
    </row>
    <row r="22" customFormat="false" ht="23.85" hidden="false" customHeight="false" outlineLevel="0" collapsed="false">
      <c r="A22" s="2" t="n">
        <v>21</v>
      </c>
      <c r="B22" s="5" t="s">
        <v>27</v>
      </c>
      <c r="C22" s="2" t="s">
        <v>101</v>
      </c>
      <c r="D22" s="2" t="s">
        <v>56</v>
      </c>
      <c r="E22" s="2"/>
      <c r="F22" s="7" t="s">
        <v>50</v>
      </c>
      <c r="G22" s="2" t="n">
        <v>1</v>
      </c>
      <c r="H22" s="2" t="s">
        <v>20</v>
      </c>
      <c r="I22" s="2" t="n">
        <v>3</v>
      </c>
      <c r="J22" s="2" t="s">
        <v>21</v>
      </c>
      <c r="K22" s="2" t="s">
        <v>22</v>
      </c>
      <c r="L22" s="2" t="s">
        <v>102</v>
      </c>
      <c r="M22" s="2" t="s">
        <v>58</v>
      </c>
      <c r="N22" s="2"/>
      <c r="O22" s="2" t="s">
        <v>98</v>
      </c>
      <c r="P22" s="2"/>
    </row>
    <row r="23" customFormat="false" ht="23.85" hidden="false" customHeight="false" outlineLevel="0" collapsed="false">
      <c r="A23" s="2" t="n">
        <v>22</v>
      </c>
      <c r="B23" s="5" t="s">
        <v>27</v>
      </c>
      <c r="C23" s="2" t="s">
        <v>103</v>
      </c>
      <c r="D23" s="2" t="s">
        <v>56</v>
      </c>
      <c r="E23" s="2"/>
      <c r="F23" s="7" t="s">
        <v>50</v>
      </c>
      <c r="G23" s="2" t="n">
        <v>1</v>
      </c>
      <c r="H23" s="2" t="s">
        <v>20</v>
      </c>
      <c r="I23" s="2" t="n">
        <v>3</v>
      </c>
      <c r="J23" s="2" t="s">
        <v>21</v>
      </c>
      <c r="K23" s="2" t="s">
        <v>22</v>
      </c>
      <c r="L23" s="2" t="s">
        <v>104</v>
      </c>
      <c r="M23" s="2" t="s">
        <v>58</v>
      </c>
      <c r="N23" s="2"/>
      <c r="O23" s="2" t="s">
        <v>105</v>
      </c>
      <c r="P23" s="2"/>
    </row>
    <row r="24" customFormat="false" ht="23.85" hidden="false" customHeight="false" outlineLevel="0" collapsed="false">
      <c r="A24" s="2" t="n">
        <v>23</v>
      </c>
      <c r="B24" s="5" t="s">
        <v>27</v>
      </c>
      <c r="C24" s="2" t="s">
        <v>106</v>
      </c>
      <c r="D24" s="2" t="s">
        <v>56</v>
      </c>
      <c r="E24" s="2"/>
      <c r="F24" s="7" t="s">
        <v>50</v>
      </c>
      <c r="G24" s="2" t="n">
        <v>1</v>
      </c>
      <c r="H24" s="2" t="s">
        <v>20</v>
      </c>
      <c r="I24" s="2" t="n">
        <v>3</v>
      </c>
      <c r="J24" s="2" t="s">
        <v>21</v>
      </c>
      <c r="K24" s="2" t="s">
        <v>22</v>
      </c>
      <c r="L24" s="2" t="s">
        <v>107</v>
      </c>
      <c r="M24" s="2" t="s">
        <v>58</v>
      </c>
      <c r="N24" s="2"/>
      <c r="O24" s="2" t="s">
        <v>108</v>
      </c>
      <c r="P24" s="2"/>
    </row>
    <row r="25" customFormat="false" ht="23.85" hidden="false" customHeight="false" outlineLevel="0" collapsed="false">
      <c r="A25" s="2" t="n">
        <v>24</v>
      </c>
      <c r="B25" s="5" t="s">
        <v>27</v>
      </c>
      <c r="C25" s="2" t="s">
        <v>109</v>
      </c>
      <c r="D25" s="2" t="s">
        <v>56</v>
      </c>
      <c r="E25" s="2"/>
      <c r="F25" s="7" t="s">
        <v>50</v>
      </c>
      <c r="G25" s="2" t="n">
        <v>1</v>
      </c>
      <c r="H25" s="2" t="s">
        <v>20</v>
      </c>
      <c r="I25" s="2" t="n">
        <v>3</v>
      </c>
      <c r="J25" s="2" t="s">
        <v>21</v>
      </c>
      <c r="K25" s="2" t="s">
        <v>22</v>
      </c>
      <c r="L25" s="2" t="s">
        <v>110</v>
      </c>
      <c r="M25" s="2" t="s">
        <v>58</v>
      </c>
      <c r="N25" s="2"/>
      <c r="O25" s="2"/>
      <c r="P25" s="2"/>
    </row>
    <row r="26" customFormat="false" ht="23.85" hidden="false" customHeight="false" outlineLevel="0" collapsed="false">
      <c r="A26" s="2" t="n">
        <v>25</v>
      </c>
      <c r="B26" s="5" t="s">
        <v>27</v>
      </c>
      <c r="C26" s="2" t="s">
        <v>111</v>
      </c>
      <c r="D26" s="2" t="s">
        <v>56</v>
      </c>
      <c r="E26" s="2"/>
      <c r="F26" s="7" t="s">
        <v>50</v>
      </c>
      <c r="G26" s="2" t="n">
        <v>1</v>
      </c>
      <c r="H26" s="2" t="s">
        <v>20</v>
      </c>
      <c r="I26" s="2" t="n">
        <v>3</v>
      </c>
      <c r="J26" s="2" t="s">
        <v>21</v>
      </c>
      <c r="K26" s="2" t="s">
        <v>22</v>
      </c>
      <c r="L26" s="2" t="s">
        <v>112</v>
      </c>
      <c r="M26" s="2" t="s">
        <v>58</v>
      </c>
      <c r="N26" s="2"/>
      <c r="O26" s="2" t="s">
        <v>113</v>
      </c>
      <c r="P26" s="2"/>
    </row>
    <row r="27" customFormat="false" ht="23.85" hidden="false" customHeight="false" outlineLevel="0" collapsed="false">
      <c r="A27" s="2" t="n">
        <v>26</v>
      </c>
      <c r="B27" s="5" t="s">
        <v>27</v>
      </c>
      <c r="C27" s="2" t="s">
        <v>114</v>
      </c>
      <c r="D27" s="2" t="s">
        <v>56</v>
      </c>
      <c r="E27" s="2"/>
      <c r="F27" s="7" t="s">
        <v>50</v>
      </c>
      <c r="G27" s="2" t="n">
        <v>1</v>
      </c>
      <c r="H27" s="2" t="s">
        <v>20</v>
      </c>
      <c r="I27" s="2" t="n">
        <v>3</v>
      </c>
      <c r="J27" s="2" t="s">
        <v>21</v>
      </c>
      <c r="K27" s="2" t="s">
        <v>22</v>
      </c>
      <c r="L27" s="2" t="s">
        <v>115</v>
      </c>
      <c r="M27" s="2" t="s">
        <v>58</v>
      </c>
      <c r="N27" s="2"/>
      <c r="O27" s="2" t="s">
        <v>105</v>
      </c>
      <c r="P27" s="2"/>
    </row>
    <row r="28" customFormat="false" ht="23.85" hidden="false" customHeight="false" outlineLevel="0" collapsed="false">
      <c r="A28" s="2" t="n">
        <v>27</v>
      </c>
      <c r="B28" s="5" t="s">
        <v>27</v>
      </c>
      <c r="C28" s="2" t="s">
        <v>116</v>
      </c>
      <c r="D28" s="2" t="s">
        <v>56</v>
      </c>
      <c r="E28" s="2"/>
      <c r="F28" s="7" t="s">
        <v>50</v>
      </c>
      <c r="G28" s="2" t="n">
        <v>1</v>
      </c>
      <c r="H28" s="2" t="s">
        <v>20</v>
      </c>
      <c r="I28" s="2" t="n">
        <v>3</v>
      </c>
      <c r="J28" s="2" t="s">
        <v>21</v>
      </c>
      <c r="K28" s="2" t="s">
        <v>22</v>
      </c>
      <c r="L28" s="2" t="s">
        <v>117</v>
      </c>
      <c r="M28" s="2" t="s">
        <v>58</v>
      </c>
      <c r="N28" s="2"/>
      <c r="O28" s="2" t="s">
        <v>118</v>
      </c>
      <c r="P28" s="2"/>
    </row>
    <row r="29" customFormat="false" ht="23.85" hidden="false" customHeight="false" outlineLevel="0" collapsed="false">
      <c r="A29" s="2" t="n">
        <v>28</v>
      </c>
      <c r="B29" s="5" t="s">
        <v>27</v>
      </c>
      <c r="C29" s="2" t="s">
        <v>119</v>
      </c>
      <c r="D29" s="2" t="s">
        <v>56</v>
      </c>
      <c r="E29" s="2"/>
      <c r="F29" s="7" t="s">
        <v>50</v>
      </c>
      <c r="G29" s="2" t="n">
        <v>1</v>
      </c>
      <c r="H29" s="2" t="s">
        <v>20</v>
      </c>
      <c r="I29" s="2" t="n">
        <v>3</v>
      </c>
      <c r="J29" s="2" t="s">
        <v>21</v>
      </c>
      <c r="K29" s="2" t="s">
        <v>22</v>
      </c>
      <c r="L29" s="2" t="s">
        <v>120</v>
      </c>
      <c r="M29" s="2" t="s">
        <v>58</v>
      </c>
      <c r="N29" s="2"/>
      <c r="O29" s="2" t="s">
        <v>118</v>
      </c>
      <c r="P29" s="2"/>
    </row>
    <row r="30" customFormat="false" ht="23.85" hidden="false" customHeight="false" outlineLevel="0" collapsed="false">
      <c r="A30" s="2" t="n">
        <v>29</v>
      </c>
      <c r="B30" s="8" t="s">
        <v>54</v>
      </c>
      <c r="C30" s="2" t="s">
        <v>121</v>
      </c>
      <c r="D30" s="2" t="s">
        <v>56</v>
      </c>
      <c r="E30" s="2"/>
      <c r="F30" s="7" t="s">
        <v>50</v>
      </c>
      <c r="G30" s="2" t="n">
        <v>1</v>
      </c>
      <c r="H30" s="2" t="s">
        <v>20</v>
      </c>
      <c r="I30" s="2" t="n">
        <v>3</v>
      </c>
      <c r="J30" s="2" t="s">
        <v>21</v>
      </c>
      <c r="K30" s="2" t="s">
        <v>22</v>
      </c>
      <c r="L30" s="2" t="s">
        <v>122</v>
      </c>
      <c r="M30" s="2" t="s">
        <v>123</v>
      </c>
      <c r="N30" s="2"/>
      <c r="O30" s="2" t="s">
        <v>98</v>
      </c>
      <c r="P30" s="2" t="s">
        <v>124</v>
      </c>
    </row>
    <row r="31" customFormat="false" ht="23.85" hidden="false" customHeight="false" outlineLevel="0" collapsed="false">
      <c r="A31" s="2" t="n">
        <v>30</v>
      </c>
      <c r="B31" s="5" t="s">
        <v>27</v>
      </c>
      <c r="C31" s="2" t="s">
        <v>125</v>
      </c>
      <c r="D31" s="2" t="s">
        <v>18</v>
      </c>
      <c r="E31" s="2"/>
      <c r="F31" s="6" t="s">
        <v>45</v>
      </c>
      <c r="G31" s="2" t="n">
        <v>1</v>
      </c>
      <c r="H31" s="2" t="s">
        <v>20</v>
      </c>
      <c r="I31" s="2" t="n">
        <v>5</v>
      </c>
      <c r="J31" s="2" t="s">
        <v>21</v>
      </c>
      <c r="K31" s="2" t="s">
        <v>22</v>
      </c>
      <c r="L31" s="2" t="s">
        <v>126</v>
      </c>
      <c r="M31" s="2" t="s">
        <v>127</v>
      </c>
      <c r="N31" s="2" t="s">
        <v>128</v>
      </c>
      <c r="O31" s="2"/>
      <c r="P31" s="2"/>
    </row>
    <row r="32" customFormat="false" ht="23.85" hidden="false" customHeight="false" outlineLevel="0" collapsed="false">
      <c r="A32" s="2" t="n">
        <v>31</v>
      </c>
      <c r="B32" s="5" t="s">
        <v>27</v>
      </c>
      <c r="C32" s="2" t="s">
        <v>129</v>
      </c>
      <c r="D32" s="2" t="s">
        <v>18</v>
      </c>
      <c r="E32" s="2"/>
      <c r="F32" s="7" t="s">
        <v>50</v>
      </c>
      <c r="G32" s="2" t="n">
        <v>1</v>
      </c>
      <c r="H32" s="2" t="s">
        <v>20</v>
      </c>
      <c r="I32" s="2" t="n">
        <v>5</v>
      </c>
      <c r="J32" s="2" t="s">
        <v>21</v>
      </c>
      <c r="K32" s="2" t="s">
        <v>22</v>
      </c>
      <c r="L32" s="2" t="s">
        <v>130</v>
      </c>
      <c r="M32" s="2" t="s">
        <v>131</v>
      </c>
      <c r="N32" s="2" t="s">
        <v>132</v>
      </c>
      <c r="O32" s="2"/>
      <c r="P32" s="2"/>
    </row>
    <row r="33" customFormat="false" ht="57.45" hidden="false" customHeight="false" outlineLevel="0" collapsed="false">
      <c r="A33" s="2" t="n">
        <v>32</v>
      </c>
      <c r="B33" s="5" t="s">
        <v>27</v>
      </c>
      <c r="C33" s="2" t="s">
        <v>133</v>
      </c>
      <c r="D33" s="2" t="s">
        <v>18</v>
      </c>
      <c r="E33" s="2"/>
      <c r="F33" s="9" t="s">
        <v>134</v>
      </c>
      <c r="G33" s="2" t="n">
        <v>1</v>
      </c>
      <c r="H33" s="2" t="s">
        <v>20</v>
      </c>
      <c r="I33" s="2" t="n">
        <v>3</v>
      </c>
      <c r="J33" s="2" t="s">
        <v>21</v>
      </c>
      <c r="K33" s="2" t="s">
        <v>22</v>
      </c>
      <c r="L33" s="2" t="s">
        <v>135</v>
      </c>
      <c r="M33" s="2" t="s">
        <v>136</v>
      </c>
      <c r="N33" s="2" t="s">
        <v>137</v>
      </c>
      <c r="O33" s="2"/>
      <c r="P33" s="2"/>
    </row>
    <row r="34" customFormat="false" ht="23.85" hidden="false" customHeight="false" outlineLevel="0" collapsed="false">
      <c r="A34" s="10" t="n">
        <v>33</v>
      </c>
      <c r="B34" s="11" t="s">
        <v>54</v>
      </c>
      <c r="C34" s="10" t="s">
        <v>138</v>
      </c>
      <c r="D34" s="10" t="s">
        <v>139</v>
      </c>
      <c r="E34" s="10"/>
      <c r="F34" s="6" t="s">
        <v>45</v>
      </c>
      <c r="G34" s="2" t="n">
        <v>1</v>
      </c>
      <c r="H34" s="2" t="s">
        <v>20</v>
      </c>
      <c r="I34" s="2" t="n">
        <v>8</v>
      </c>
      <c r="J34" s="2" t="s">
        <v>21</v>
      </c>
      <c r="K34" s="2" t="s">
        <v>22</v>
      </c>
      <c r="L34" s="2" t="s">
        <v>140</v>
      </c>
      <c r="M34" s="2" t="s">
        <v>141</v>
      </c>
      <c r="N34" s="2"/>
      <c r="O34" s="2"/>
      <c r="P34" s="2" t="s">
        <v>142</v>
      </c>
    </row>
    <row r="35" customFormat="false" ht="35.05" hidden="false" customHeight="false" outlineLevel="0" collapsed="false">
      <c r="A35" s="2" t="n">
        <v>34</v>
      </c>
      <c r="B35" s="8" t="s">
        <v>54</v>
      </c>
      <c r="C35" s="2" t="s">
        <v>143</v>
      </c>
      <c r="D35" s="2" t="s">
        <v>18</v>
      </c>
      <c r="E35" s="2" t="s">
        <v>144</v>
      </c>
      <c r="F35" s="6" t="s">
        <v>45</v>
      </c>
      <c r="G35" s="2" t="n">
        <v>1</v>
      </c>
      <c r="H35" s="2" t="s">
        <v>20</v>
      </c>
      <c r="I35" s="2" t="n">
        <v>3</v>
      </c>
      <c r="J35" s="2" t="s">
        <v>21</v>
      </c>
      <c r="K35" s="2" t="s">
        <v>22</v>
      </c>
      <c r="L35" s="2" t="s">
        <v>145</v>
      </c>
      <c r="M35" s="2" t="s">
        <v>146</v>
      </c>
      <c r="N35" s="2" t="s">
        <v>147</v>
      </c>
      <c r="O35" s="2"/>
      <c r="P35" s="2" t="s">
        <v>148</v>
      </c>
    </row>
    <row r="36" customFormat="false" ht="35.05" hidden="false" customHeight="false" outlineLevel="0" collapsed="false">
      <c r="A36" s="2" t="n">
        <v>35</v>
      </c>
      <c r="B36" s="3" t="s">
        <v>16</v>
      </c>
      <c r="C36" s="2" t="s">
        <v>149</v>
      </c>
      <c r="D36" s="2" t="s">
        <v>18</v>
      </c>
      <c r="E36" s="2" t="s">
        <v>144</v>
      </c>
      <c r="F36" s="6" t="s">
        <v>45</v>
      </c>
      <c r="G36" s="2" t="n">
        <v>1</v>
      </c>
      <c r="H36" s="2" t="s">
        <v>20</v>
      </c>
      <c r="I36" s="2" t="n">
        <v>3</v>
      </c>
      <c r="J36" s="2" t="s">
        <v>21</v>
      </c>
      <c r="K36" s="2" t="s">
        <v>22</v>
      </c>
      <c r="L36" s="2" t="s">
        <v>150</v>
      </c>
      <c r="M36" s="2" t="s">
        <v>151</v>
      </c>
      <c r="N36" s="2" t="s">
        <v>152</v>
      </c>
      <c r="O36" s="2"/>
      <c r="P36" s="2" t="s">
        <v>153</v>
      </c>
    </row>
    <row r="37" customFormat="false" ht="35.05" hidden="false" customHeight="false" outlineLevel="0" collapsed="false">
      <c r="A37" s="2" t="n">
        <v>36</v>
      </c>
      <c r="B37" s="3" t="s">
        <v>16</v>
      </c>
      <c r="C37" s="2" t="s">
        <v>154</v>
      </c>
      <c r="D37" s="2" t="s">
        <v>18</v>
      </c>
      <c r="E37" s="2" t="s">
        <v>144</v>
      </c>
      <c r="F37" s="6" t="s">
        <v>45</v>
      </c>
      <c r="G37" s="2" t="n">
        <v>1</v>
      </c>
      <c r="H37" s="2" t="s">
        <v>20</v>
      </c>
      <c r="I37" s="2" t="n">
        <v>3</v>
      </c>
      <c r="J37" s="2" t="s">
        <v>21</v>
      </c>
      <c r="K37" s="2" t="s">
        <v>22</v>
      </c>
      <c r="L37" s="2" t="s">
        <v>155</v>
      </c>
      <c r="M37" s="2" t="s">
        <v>156</v>
      </c>
      <c r="N37" s="2" t="s">
        <v>157</v>
      </c>
      <c r="O37" s="2"/>
      <c r="P37" s="2" t="s">
        <v>158</v>
      </c>
    </row>
    <row r="38" customFormat="false" ht="23.85" hidden="false" customHeight="false" outlineLevel="0" collapsed="false">
      <c r="A38" s="10" t="n">
        <v>37</v>
      </c>
      <c r="B38" s="12" t="s">
        <v>27</v>
      </c>
      <c r="C38" s="10" t="s">
        <v>159</v>
      </c>
      <c r="D38" s="10" t="s">
        <v>139</v>
      </c>
      <c r="E38" s="10"/>
      <c r="F38" s="7" t="s">
        <v>50</v>
      </c>
      <c r="G38" s="2" t="n">
        <v>1</v>
      </c>
      <c r="H38" s="2" t="s">
        <v>20</v>
      </c>
      <c r="I38" s="2" t="n">
        <v>8</v>
      </c>
      <c r="J38" s="2" t="s">
        <v>21</v>
      </c>
      <c r="K38" s="2" t="s">
        <v>22</v>
      </c>
      <c r="L38" s="2" t="s">
        <v>160</v>
      </c>
      <c r="M38" s="2" t="s">
        <v>161</v>
      </c>
      <c r="N38" s="2"/>
      <c r="O38" s="2"/>
      <c r="P38" s="2"/>
    </row>
    <row r="39" customFormat="false" ht="35.05" hidden="false" customHeight="false" outlineLevel="0" collapsed="false">
      <c r="A39" s="2" t="n">
        <v>38</v>
      </c>
      <c r="B39" s="5" t="s">
        <v>27</v>
      </c>
      <c r="C39" s="2" t="s">
        <v>162</v>
      </c>
      <c r="D39" s="2" t="s">
        <v>18</v>
      </c>
      <c r="E39" s="2" t="s">
        <v>163</v>
      </c>
      <c r="F39" s="7" t="s">
        <v>50</v>
      </c>
      <c r="G39" s="2" t="n">
        <v>1</v>
      </c>
      <c r="H39" s="2" t="s">
        <v>20</v>
      </c>
      <c r="I39" s="2" t="n">
        <v>3</v>
      </c>
      <c r="J39" s="2" t="s">
        <v>21</v>
      </c>
      <c r="K39" s="2" t="s">
        <v>22</v>
      </c>
      <c r="L39" s="2" t="s">
        <v>164</v>
      </c>
      <c r="M39" s="2" t="s">
        <v>165</v>
      </c>
      <c r="N39" s="2" t="s">
        <v>166</v>
      </c>
      <c r="O39" s="2"/>
      <c r="P39" s="2"/>
    </row>
    <row r="40" customFormat="false" ht="46.25" hidden="false" customHeight="false" outlineLevel="0" collapsed="false">
      <c r="A40" s="2" t="n">
        <v>39</v>
      </c>
      <c r="B40" s="5" t="s">
        <v>27</v>
      </c>
      <c r="C40" s="2" t="s">
        <v>167</v>
      </c>
      <c r="D40" s="2" t="s">
        <v>18</v>
      </c>
      <c r="E40" s="2" t="s">
        <v>163</v>
      </c>
      <c r="F40" s="7" t="s">
        <v>50</v>
      </c>
      <c r="G40" s="2" t="n">
        <v>1</v>
      </c>
      <c r="H40" s="2" t="s">
        <v>20</v>
      </c>
      <c r="I40" s="2" t="n">
        <v>3</v>
      </c>
      <c r="J40" s="2" t="s">
        <v>21</v>
      </c>
      <c r="K40" s="2" t="s">
        <v>22</v>
      </c>
      <c r="L40" s="2" t="s">
        <v>168</v>
      </c>
      <c r="M40" s="2" t="s">
        <v>169</v>
      </c>
      <c r="N40" s="2" t="s">
        <v>170</v>
      </c>
      <c r="O40" s="2"/>
      <c r="P40" s="2"/>
    </row>
    <row r="41" customFormat="false" ht="23.85" hidden="false" customHeight="false" outlineLevel="0" collapsed="false">
      <c r="A41" s="2" t="n">
        <v>40</v>
      </c>
      <c r="B41" s="5" t="s">
        <v>27</v>
      </c>
      <c r="C41" s="2" t="s">
        <v>171</v>
      </c>
      <c r="D41" s="2" t="s">
        <v>18</v>
      </c>
      <c r="E41" s="2"/>
      <c r="F41" s="4" t="s">
        <v>19</v>
      </c>
      <c r="G41" s="2" t="n">
        <v>1</v>
      </c>
      <c r="H41" s="2" t="s">
        <v>20</v>
      </c>
      <c r="I41" s="2" t="n">
        <v>2</v>
      </c>
      <c r="J41" s="2" t="s">
        <v>172</v>
      </c>
      <c r="K41" s="2" t="s">
        <v>22</v>
      </c>
      <c r="L41" s="2" t="s">
        <v>173</v>
      </c>
      <c r="M41" s="2" t="s">
        <v>174</v>
      </c>
      <c r="N41" s="2" t="s">
        <v>175</v>
      </c>
      <c r="O41" s="2"/>
      <c r="P41" s="2"/>
    </row>
    <row r="42" customFormat="false" ht="23.85" hidden="false" customHeight="false" outlineLevel="0" collapsed="false">
      <c r="A42" s="2" t="n">
        <v>41</v>
      </c>
      <c r="B42" s="8" t="s">
        <v>54</v>
      </c>
      <c r="C42" s="2" t="s">
        <v>176</v>
      </c>
      <c r="D42" s="2" t="s">
        <v>177</v>
      </c>
      <c r="E42" s="2"/>
      <c r="F42" s="6" t="s">
        <v>45</v>
      </c>
      <c r="G42" s="2" t="n">
        <v>1</v>
      </c>
      <c r="H42" s="2" t="s">
        <v>20</v>
      </c>
      <c r="I42" s="2" t="n">
        <v>2</v>
      </c>
      <c r="J42" s="2" t="s">
        <v>172</v>
      </c>
      <c r="K42" s="2" t="s">
        <v>22</v>
      </c>
      <c r="L42" s="2" t="s">
        <v>178</v>
      </c>
      <c r="M42" s="2" t="s">
        <v>179</v>
      </c>
      <c r="N42" s="2" t="s">
        <v>180</v>
      </c>
      <c r="O42" s="2"/>
      <c r="P42" s="2" t="s">
        <v>181</v>
      </c>
    </row>
    <row r="43" customFormat="false" ht="23.85" hidden="false" customHeight="false" outlineLevel="0" collapsed="false">
      <c r="A43" s="2" t="n">
        <v>42</v>
      </c>
      <c r="B43" s="5" t="s">
        <v>27</v>
      </c>
      <c r="C43" s="2" t="s">
        <v>182</v>
      </c>
      <c r="D43" s="2" t="s">
        <v>177</v>
      </c>
      <c r="E43" s="2"/>
      <c r="F43" s="7" t="s">
        <v>50</v>
      </c>
      <c r="G43" s="2" t="n">
        <v>1</v>
      </c>
      <c r="H43" s="2" t="s">
        <v>20</v>
      </c>
      <c r="I43" s="2" t="n">
        <v>2</v>
      </c>
      <c r="J43" s="2" t="s">
        <v>172</v>
      </c>
      <c r="K43" s="2" t="s">
        <v>22</v>
      </c>
      <c r="L43" s="2" t="s">
        <v>183</v>
      </c>
      <c r="M43" s="2" t="s">
        <v>184</v>
      </c>
      <c r="N43" s="2" t="s">
        <v>185</v>
      </c>
      <c r="O43" s="2"/>
      <c r="P43" s="2"/>
    </row>
    <row r="44" customFormat="false" ht="35.05" hidden="false" customHeight="false" outlineLevel="0" collapsed="false">
      <c r="A44" s="2" t="n">
        <v>43</v>
      </c>
      <c r="B44" s="5" t="s">
        <v>27</v>
      </c>
      <c r="C44" s="2" t="s">
        <v>186</v>
      </c>
      <c r="D44" s="2" t="s">
        <v>18</v>
      </c>
      <c r="E44" s="2"/>
      <c r="F44" s="9" t="s">
        <v>134</v>
      </c>
      <c r="G44" s="2" t="n">
        <v>1</v>
      </c>
      <c r="H44" s="2" t="s">
        <v>20</v>
      </c>
      <c r="I44" s="2" t="n">
        <v>3</v>
      </c>
      <c r="J44" s="2" t="s">
        <v>172</v>
      </c>
      <c r="K44" s="2" t="s">
        <v>22</v>
      </c>
      <c r="L44" s="2" t="s">
        <v>187</v>
      </c>
      <c r="M44" s="2" t="s">
        <v>188</v>
      </c>
      <c r="N44" s="2" t="s">
        <v>189</v>
      </c>
      <c r="O44" s="2"/>
      <c r="P44" s="2"/>
    </row>
    <row r="45" customFormat="false" ht="23.85" hidden="false" customHeight="false" outlineLevel="0" collapsed="false">
      <c r="A45" s="2" t="n">
        <v>44</v>
      </c>
      <c r="B45" s="5" t="s">
        <v>27</v>
      </c>
      <c r="C45" s="2" t="s">
        <v>190</v>
      </c>
      <c r="D45" s="2" t="s">
        <v>18</v>
      </c>
      <c r="E45" s="2" t="s">
        <v>144</v>
      </c>
      <c r="F45" s="6" t="s">
        <v>45</v>
      </c>
      <c r="G45" s="2" t="n">
        <v>1</v>
      </c>
      <c r="H45" s="2" t="s">
        <v>20</v>
      </c>
      <c r="I45" s="2" t="n">
        <v>3</v>
      </c>
      <c r="J45" s="2" t="s">
        <v>172</v>
      </c>
      <c r="K45" s="2" t="s">
        <v>22</v>
      </c>
      <c r="L45" s="2" t="s">
        <v>191</v>
      </c>
      <c r="M45" s="2" t="s">
        <v>192</v>
      </c>
      <c r="N45" s="2" t="s">
        <v>193</v>
      </c>
      <c r="O45" s="2"/>
      <c r="P45" s="2"/>
    </row>
    <row r="46" customFormat="false" ht="46.25" hidden="false" customHeight="false" outlineLevel="0" collapsed="false">
      <c r="A46" s="2" t="n">
        <v>45</v>
      </c>
      <c r="B46" s="5" t="s">
        <v>27</v>
      </c>
      <c r="C46" s="2" t="s">
        <v>194</v>
      </c>
      <c r="D46" s="2" t="s">
        <v>18</v>
      </c>
      <c r="E46" s="2" t="s">
        <v>163</v>
      </c>
      <c r="F46" s="7" t="s">
        <v>50</v>
      </c>
      <c r="G46" s="2" t="n">
        <v>1</v>
      </c>
      <c r="H46" s="2" t="s">
        <v>20</v>
      </c>
      <c r="I46" s="2" t="n">
        <v>3</v>
      </c>
      <c r="J46" s="2" t="s">
        <v>172</v>
      </c>
      <c r="K46" s="2" t="s">
        <v>22</v>
      </c>
      <c r="L46" s="2" t="s">
        <v>195</v>
      </c>
      <c r="M46" s="2" t="s">
        <v>196</v>
      </c>
      <c r="N46" s="2" t="s">
        <v>197</v>
      </c>
      <c r="O46" s="2"/>
      <c r="P46" s="2"/>
    </row>
    <row r="47" customFormat="false" ht="23.85" hidden="false" customHeight="false" outlineLevel="0" collapsed="false">
      <c r="A47" s="2" t="n">
        <v>46</v>
      </c>
      <c r="B47" s="5" t="s">
        <v>27</v>
      </c>
      <c r="C47" s="2" t="s">
        <v>198</v>
      </c>
      <c r="D47" s="2" t="s">
        <v>18</v>
      </c>
      <c r="E47" s="2"/>
      <c r="F47" s="9" t="s">
        <v>134</v>
      </c>
      <c r="G47" s="2" t="n">
        <v>1</v>
      </c>
      <c r="H47" s="2" t="s">
        <v>20</v>
      </c>
      <c r="I47" s="2" t="n">
        <v>3</v>
      </c>
      <c r="J47" s="2" t="s">
        <v>172</v>
      </c>
      <c r="K47" s="2" t="s">
        <v>22</v>
      </c>
      <c r="L47" s="2" t="s">
        <v>199</v>
      </c>
      <c r="M47" s="2" t="s">
        <v>200</v>
      </c>
      <c r="N47" s="2" t="s">
        <v>201</v>
      </c>
      <c r="O47" s="2"/>
      <c r="P47" s="2"/>
    </row>
    <row r="48" customFormat="false" ht="35.05" hidden="false" customHeight="false" outlineLevel="0" collapsed="false">
      <c r="A48" s="2" t="n">
        <v>47</v>
      </c>
      <c r="B48" s="5" t="s">
        <v>27</v>
      </c>
      <c r="C48" s="2" t="s">
        <v>202</v>
      </c>
      <c r="D48" s="2" t="s">
        <v>18</v>
      </c>
      <c r="E48" s="2"/>
      <c r="F48" s="4" t="s">
        <v>19</v>
      </c>
      <c r="G48" s="2" t="n">
        <v>2</v>
      </c>
      <c r="H48" s="2" t="s">
        <v>203</v>
      </c>
      <c r="I48" s="2" t="n">
        <v>2</v>
      </c>
      <c r="J48" s="2" t="s">
        <v>21</v>
      </c>
      <c r="K48" s="2" t="s">
        <v>22</v>
      </c>
      <c r="L48" s="2" t="s">
        <v>204</v>
      </c>
      <c r="M48" s="2" t="s">
        <v>205</v>
      </c>
      <c r="N48" s="2" t="s">
        <v>206</v>
      </c>
      <c r="O48" s="2"/>
      <c r="P48" s="2"/>
    </row>
    <row r="49" customFormat="false" ht="23.85" hidden="false" customHeight="false" outlineLevel="0" collapsed="false">
      <c r="A49" s="2" t="n">
        <v>48</v>
      </c>
      <c r="B49" s="5" t="s">
        <v>27</v>
      </c>
      <c r="C49" s="2" t="s">
        <v>207</v>
      </c>
      <c r="D49" s="2" t="s">
        <v>18</v>
      </c>
      <c r="E49" s="2"/>
      <c r="F49" s="4" t="s">
        <v>19</v>
      </c>
      <c r="G49" s="2" t="n">
        <v>2</v>
      </c>
      <c r="H49" s="2" t="s">
        <v>203</v>
      </c>
      <c r="I49" s="2" t="n">
        <v>3</v>
      </c>
      <c r="J49" s="2" t="s">
        <v>21</v>
      </c>
      <c r="K49" s="2" t="s">
        <v>22</v>
      </c>
      <c r="L49" s="2" t="s">
        <v>208</v>
      </c>
      <c r="M49" s="2" t="s">
        <v>209</v>
      </c>
      <c r="N49" s="2" t="s">
        <v>210</v>
      </c>
      <c r="O49" s="2"/>
      <c r="P49" s="2"/>
    </row>
    <row r="50" customFormat="false" ht="23.85" hidden="false" customHeight="false" outlineLevel="0" collapsed="false">
      <c r="A50" s="2" t="n">
        <v>49</v>
      </c>
      <c r="B50" s="5" t="s">
        <v>27</v>
      </c>
      <c r="C50" s="2" t="s">
        <v>211</v>
      </c>
      <c r="D50" s="2" t="s">
        <v>18</v>
      </c>
      <c r="E50" s="2"/>
      <c r="F50" s="4" t="s">
        <v>19</v>
      </c>
      <c r="G50" s="2" t="n">
        <v>2</v>
      </c>
      <c r="H50" s="2" t="s">
        <v>203</v>
      </c>
      <c r="I50" s="2" t="n">
        <v>1</v>
      </c>
      <c r="J50" s="2" t="s">
        <v>21</v>
      </c>
      <c r="K50" s="2" t="s">
        <v>22</v>
      </c>
      <c r="L50" s="2" t="s">
        <v>212</v>
      </c>
      <c r="M50" s="2" t="s">
        <v>213</v>
      </c>
      <c r="N50" s="2" t="s">
        <v>214</v>
      </c>
      <c r="O50" s="2"/>
      <c r="P50" s="2"/>
    </row>
    <row r="51" customFormat="false" ht="23.85" hidden="false" customHeight="false" outlineLevel="0" collapsed="false">
      <c r="A51" s="2" t="n">
        <v>50</v>
      </c>
      <c r="B51" s="5" t="s">
        <v>27</v>
      </c>
      <c r="C51" s="2" t="s">
        <v>215</v>
      </c>
      <c r="D51" s="2" t="s">
        <v>18</v>
      </c>
      <c r="E51" s="2" t="s">
        <v>144</v>
      </c>
      <c r="F51" s="6" t="s">
        <v>45</v>
      </c>
      <c r="G51" s="2" t="n">
        <v>2</v>
      </c>
      <c r="H51" s="2" t="s">
        <v>203</v>
      </c>
      <c r="I51" s="2" t="n">
        <v>3</v>
      </c>
      <c r="J51" s="2" t="s">
        <v>21</v>
      </c>
      <c r="K51" s="2" t="s">
        <v>22</v>
      </c>
      <c r="L51" s="2" t="s">
        <v>216</v>
      </c>
      <c r="M51" s="2" t="s">
        <v>217</v>
      </c>
      <c r="N51" s="2" t="s">
        <v>218</v>
      </c>
      <c r="O51" s="2"/>
      <c r="P51" s="2"/>
    </row>
    <row r="52" customFormat="false" ht="23.85" hidden="false" customHeight="false" outlineLevel="0" collapsed="false">
      <c r="A52" s="2" t="n">
        <v>51</v>
      </c>
      <c r="B52" s="5" t="s">
        <v>27</v>
      </c>
      <c r="C52" s="2" t="s">
        <v>219</v>
      </c>
      <c r="D52" s="2" t="s">
        <v>18</v>
      </c>
      <c r="E52" s="2" t="s">
        <v>220</v>
      </c>
      <c r="F52" s="9" t="s">
        <v>134</v>
      </c>
      <c r="G52" s="2" t="n">
        <v>2</v>
      </c>
      <c r="H52" s="2" t="s">
        <v>203</v>
      </c>
      <c r="I52" s="2" t="n">
        <v>8</v>
      </c>
      <c r="J52" s="2" t="s">
        <v>21</v>
      </c>
      <c r="K52" s="2" t="s">
        <v>22</v>
      </c>
      <c r="L52" s="2" t="s">
        <v>221</v>
      </c>
      <c r="M52" s="2" t="s">
        <v>222</v>
      </c>
      <c r="N52" s="2" t="s">
        <v>223</v>
      </c>
      <c r="O52" s="2"/>
      <c r="P52" s="2"/>
    </row>
    <row r="53" customFormat="false" ht="23.85" hidden="false" customHeight="false" outlineLevel="0" collapsed="false">
      <c r="A53" s="2" t="n">
        <v>52</v>
      </c>
      <c r="B53" s="5" t="s">
        <v>27</v>
      </c>
      <c r="C53" s="2" t="s">
        <v>224</v>
      </c>
      <c r="D53" s="2" t="s">
        <v>18</v>
      </c>
      <c r="E53" s="2" t="s">
        <v>220</v>
      </c>
      <c r="F53" s="9" t="s">
        <v>134</v>
      </c>
      <c r="G53" s="2" t="n">
        <v>2</v>
      </c>
      <c r="H53" s="2" t="s">
        <v>203</v>
      </c>
      <c r="I53" s="2" t="n">
        <v>8</v>
      </c>
      <c r="J53" s="2" t="s">
        <v>21</v>
      </c>
      <c r="K53" s="2" t="s">
        <v>22</v>
      </c>
      <c r="L53" s="2" t="s">
        <v>225</v>
      </c>
      <c r="M53" s="2" t="s">
        <v>222</v>
      </c>
      <c r="N53" s="2" t="s">
        <v>226</v>
      </c>
      <c r="O53" s="2"/>
      <c r="P53" s="2"/>
    </row>
    <row r="54" customFormat="false" ht="23.85" hidden="false" customHeight="false" outlineLevel="0" collapsed="false">
      <c r="A54" s="10" t="n">
        <v>53</v>
      </c>
      <c r="B54" s="11" t="s">
        <v>54</v>
      </c>
      <c r="C54" s="10" t="s">
        <v>227</v>
      </c>
      <c r="D54" s="10" t="s">
        <v>139</v>
      </c>
      <c r="E54" s="10"/>
      <c r="F54" s="6" t="s">
        <v>45</v>
      </c>
      <c r="G54" s="2" t="n">
        <v>2</v>
      </c>
      <c r="H54" s="2" t="s">
        <v>203</v>
      </c>
      <c r="I54" s="2" t="n">
        <v>3</v>
      </c>
      <c r="J54" s="2" t="s">
        <v>21</v>
      </c>
      <c r="K54" s="2" t="s">
        <v>22</v>
      </c>
      <c r="L54" s="2" t="s">
        <v>228</v>
      </c>
      <c r="M54" s="2" t="s">
        <v>229</v>
      </c>
      <c r="N54" s="2"/>
      <c r="O54" s="2"/>
      <c r="P54" s="2" t="s">
        <v>230</v>
      </c>
    </row>
    <row r="55" customFormat="false" ht="23.85" hidden="false" customHeight="false" outlineLevel="0" collapsed="false">
      <c r="A55" s="2" t="n">
        <v>54</v>
      </c>
      <c r="B55" s="5" t="s">
        <v>27</v>
      </c>
      <c r="C55" s="2" t="s">
        <v>231</v>
      </c>
      <c r="D55" s="2" t="s">
        <v>18</v>
      </c>
      <c r="E55" s="2" t="s">
        <v>232</v>
      </c>
      <c r="F55" s="6" t="s">
        <v>45</v>
      </c>
      <c r="G55" s="2" t="n">
        <v>2</v>
      </c>
      <c r="H55" s="2" t="s">
        <v>203</v>
      </c>
      <c r="I55" s="2" t="n">
        <v>3</v>
      </c>
      <c r="J55" s="2" t="s">
        <v>21</v>
      </c>
      <c r="K55" s="2" t="s">
        <v>22</v>
      </c>
      <c r="L55" s="2" t="s">
        <v>233</v>
      </c>
      <c r="M55" s="2" t="s">
        <v>234</v>
      </c>
      <c r="N55" s="2" t="s">
        <v>235</v>
      </c>
      <c r="O55" s="2"/>
      <c r="P55" s="2"/>
    </row>
    <row r="56" customFormat="false" ht="23.85" hidden="false" customHeight="false" outlineLevel="0" collapsed="false">
      <c r="A56" s="10" t="n">
        <v>55</v>
      </c>
      <c r="B56" s="11" t="s">
        <v>54</v>
      </c>
      <c r="C56" s="10" t="s">
        <v>236</v>
      </c>
      <c r="D56" s="10" t="s">
        <v>139</v>
      </c>
      <c r="E56" s="10"/>
      <c r="F56" s="7" t="s">
        <v>50</v>
      </c>
      <c r="G56" s="2" t="n">
        <v>2</v>
      </c>
      <c r="H56" s="2" t="s">
        <v>203</v>
      </c>
      <c r="I56" s="2" t="n">
        <v>5</v>
      </c>
      <c r="J56" s="2" t="s">
        <v>21</v>
      </c>
      <c r="K56" s="2" t="s">
        <v>22</v>
      </c>
      <c r="L56" s="2" t="s">
        <v>237</v>
      </c>
      <c r="M56" s="2" t="s">
        <v>238</v>
      </c>
      <c r="N56" s="2"/>
      <c r="O56" s="2"/>
      <c r="P56" s="2" t="s">
        <v>239</v>
      </c>
    </row>
    <row r="57" customFormat="false" ht="23.85" hidden="false" customHeight="false" outlineLevel="0" collapsed="false">
      <c r="A57" s="2" t="n">
        <v>56</v>
      </c>
      <c r="B57" s="8" t="s">
        <v>54</v>
      </c>
      <c r="C57" s="2" t="s">
        <v>240</v>
      </c>
      <c r="D57" s="2" t="s">
        <v>241</v>
      </c>
      <c r="E57" s="2" t="s">
        <v>242</v>
      </c>
      <c r="F57" s="7" t="s">
        <v>50</v>
      </c>
      <c r="G57" s="2" t="n">
        <v>2</v>
      </c>
      <c r="H57" s="2" t="s">
        <v>203</v>
      </c>
      <c r="I57" s="2" t="n">
        <v>2</v>
      </c>
      <c r="J57" s="2" t="s">
        <v>21</v>
      </c>
      <c r="K57" s="2" t="s">
        <v>22</v>
      </c>
      <c r="L57" s="2" t="s">
        <v>243</v>
      </c>
      <c r="M57" s="2" t="s">
        <v>244</v>
      </c>
      <c r="N57" s="2" t="s">
        <v>245</v>
      </c>
      <c r="O57" s="2"/>
      <c r="P57" s="2" t="s">
        <v>246</v>
      </c>
    </row>
    <row r="58" customFormat="false" ht="23.85" hidden="false" customHeight="false" outlineLevel="0" collapsed="false">
      <c r="A58" s="2" t="n">
        <v>57</v>
      </c>
      <c r="B58" s="8" t="s">
        <v>54</v>
      </c>
      <c r="C58" s="2" t="s">
        <v>247</v>
      </c>
      <c r="D58" s="2" t="s">
        <v>241</v>
      </c>
      <c r="E58" s="2" t="s">
        <v>242</v>
      </c>
      <c r="F58" s="7" t="s">
        <v>50</v>
      </c>
      <c r="G58" s="2" t="n">
        <v>2</v>
      </c>
      <c r="H58" s="2" t="s">
        <v>203</v>
      </c>
      <c r="I58" s="2" t="n">
        <v>2</v>
      </c>
      <c r="J58" s="2" t="s">
        <v>21</v>
      </c>
      <c r="K58" s="2" t="s">
        <v>22</v>
      </c>
      <c r="L58" s="2" t="s">
        <v>248</v>
      </c>
      <c r="M58" s="2" t="s">
        <v>249</v>
      </c>
      <c r="N58" s="2" t="s">
        <v>250</v>
      </c>
      <c r="O58" s="2"/>
      <c r="P58" s="2" t="s">
        <v>251</v>
      </c>
    </row>
    <row r="59" customFormat="false" ht="23.85" hidden="false" customHeight="false" outlineLevel="0" collapsed="false">
      <c r="A59" s="2" t="n">
        <v>58</v>
      </c>
      <c r="B59" s="5" t="s">
        <v>27</v>
      </c>
      <c r="C59" s="2" t="s">
        <v>252</v>
      </c>
      <c r="D59" s="2" t="s">
        <v>18</v>
      </c>
      <c r="E59" s="2" t="s">
        <v>242</v>
      </c>
      <c r="F59" s="7" t="s">
        <v>50</v>
      </c>
      <c r="G59" s="2" t="n">
        <v>2</v>
      </c>
      <c r="H59" s="2" t="s">
        <v>203</v>
      </c>
      <c r="I59" s="2" t="n">
        <v>3</v>
      </c>
      <c r="J59" s="2" t="s">
        <v>21</v>
      </c>
      <c r="K59" s="2" t="s">
        <v>22</v>
      </c>
      <c r="L59" s="2" t="s">
        <v>253</v>
      </c>
      <c r="M59" s="2" t="s">
        <v>254</v>
      </c>
      <c r="N59" s="2" t="s">
        <v>255</v>
      </c>
      <c r="O59" s="2" t="s">
        <v>256</v>
      </c>
      <c r="P59" s="2"/>
    </row>
    <row r="60" customFormat="false" ht="23.85" hidden="false" customHeight="false" outlineLevel="0" collapsed="false">
      <c r="A60" s="10" t="n">
        <v>59</v>
      </c>
      <c r="B60" s="11" t="s">
        <v>54</v>
      </c>
      <c r="C60" s="10" t="s">
        <v>257</v>
      </c>
      <c r="D60" s="10" t="s">
        <v>139</v>
      </c>
      <c r="E60" s="10"/>
      <c r="F60" s="7" t="s">
        <v>50</v>
      </c>
      <c r="G60" s="2" t="n">
        <v>2</v>
      </c>
      <c r="H60" s="2" t="s">
        <v>203</v>
      </c>
      <c r="I60" s="2" t="n">
        <v>5</v>
      </c>
      <c r="J60" s="2" t="s">
        <v>21</v>
      </c>
      <c r="K60" s="2" t="s">
        <v>22</v>
      </c>
      <c r="L60" s="2" t="s">
        <v>258</v>
      </c>
      <c r="M60" s="2" t="s">
        <v>259</v>
      </c>
      <c r="N60" s="2"/>
      <c r="O60" s="2"/>
      <c r="P60" s="2" t="s">
        <v>260</v>
      </c>
    </row>
    <row r="61" customFormat="false" ht="35.05" hidden="false" customHeight="false" outlineLevel="0" collapsed="false">
      <c r="A61" s="2" t="n">
        <v>60</v>
      </c>
      <c r="B61" s="5" t="s">
        <v>27</v>
      </c>
      <c r="C61" s="2" t="s">
        <v>261</v>
      </c>
      <c r="D61" s="2" t="s">
        <v>18</v>
      </c>
      <c r="E61" s="2" t="s">
        <v>262</v>
      </c>
      <c r="F61" s="7" t="s">
        <v>50</v>
      </c>
      <c r="G61" s="2" t="n">
        <v>2</v>
      </c>
      <c r="H61" s="2" t="s">
        <v>203</v>
      </c>
      <c r="I61" s="2" t="n">
        <v>5</v>
      </c>
      <c r="J61" s="2" t="s">
        <v>21</v>
      </c>
      <c r="K61" s="2" t="s">
        <v>22</v>
      </c>
      <c r="L61" s="2" t="s">
        <v>263</v>
      </c>
      <c r="M61" s="2" t="s">
        <v>264</v>
      </c>
      <c r="N61" s="2" t="s">
        <v>265</v>
      </c>
      <c r="O61" s="2" t="s">
        <v>266</v>
      </c>
      <c r="P61" s="2"/>
    </row>
    <row r="62" customFormat="false" ht="35.05" hidden="false" customHeight="false" outlineLevel="0" collapsed="false">
      <c r="A62" s="2" t="n">
        <v>61</v>
      </c>
      <c r="B62" s="5" t="s">
        <v>27</v>
      </c>
      <c r="C62" s="2" t="s">
        <v>267</v>
      </c>
      <c r="D62" s="2" t="s">
        <v>18</v>
      </c>
      <c r="E62" s="2" t="s">
        <v>163</v>
      </c>
      <c r="F62" s="9" t="s">
        <v>134</v>
      </c>
      <c r="G62" s="2" t="n">
        <v>2</v>
      </c>
      <c r="H62" s="2" t="s">
        <v>203</v>
      </c>
      <c r="I62" s="2" t="n">
        <v>3</v>
      </c>
      <c r="J62" s="2" t="s">
        <v>21</v>
      </c>
      <c r="K62" s="2" t="s">
        <v>22</v>
      </c>
      <c r="L62" s="2" t="s">
        <v>268</v>
      </c>
      <c r="M62" s="2" t="s">
        <v>269</v>
      </c>
      <c r="N62" s="2" t="s">
        <v>270</v>
      </c>
      <c r="O62" s="2"/>
      <c r="P62" s="2"/>
    </row>
    <row r="63" customFormat="false" ht="23.85" hidden="false" customHeight="false" outlineLevel="0" collapsed="false">
      <c r="A63" s="10" t="n">
        <v>62</v>
      </c>
      <c r="B63" s="12" t="s">
        <v>27</v>
      </c>
      <c r="C63" s="10" t="s">
        <v>271</v>
      </c>
      <c r="D63" s="10" t="s">
        <v>139</v>
      </c>
      <c r="E63" s="10"/>
      <c r="F63" s="7" t="s">
        <v>50</v>
      </c>
      <c r="G63" s="2" t="n">
        <v>2</v>
      </c>
      <c r="H63" s="2" t="s">
        <v>203</v>
      </c>
      <c r="I63" s="2" t="n">
        <v>3</v>
      </c>
      <c r="J63" s="2" t="s">
        <v>21</v>
      </c>
      <c r="K63" s="2" t="s">
        <v>22</v>
      </c>
      <c r="L63" s="2" t="s">
        <v>272</v>
      </c>
      <c r="M63" s="2" t="s">
        <v>273</v>
      </c>
      <c r="N63" s="2"/>
      <c r="O63" s="2"/>
      <c r="P63" s="2"/>
    </row>
    <row r="64" customFormat="false" ht="23.85" hidden="false" customHeight="false" outlineLevel="0" collapsed="false">
      <c r="A64" s="10" t="n">
        <v>63</v>
      </c>
      <c r="B64" s="12" t="s">
        <v>27</v>
      </c>
      <c r="C64" s="10" t="s">
        <v>274</v>
      </c>
      <c r="D64" s="10" t="s">
        <v>139</v>
      </c>
      <c r="E64" s="10"/>
      <c r="F64" s="6" t="s">
        <v>45</v>
      </c>
      <c r="G64" s="2" t="n">
        <v>2</v>
      </c>
      <c r="H64" s="2" t="s">
        <v>203</v>
      </c>
      <c r="I64" s="2" t="n">
        <v>5</v>
      </c>
      <c r="J64" s="2" t="s">
        <v>21</v>
      </c>
      <c r="K64" s="2" t="s">
        <v>22</v>
      </c>
      <c r="L64" s="2" t="s">
        <v>275</v>
      </c>
      <c r="M64" s="2" t="s">
        <v>276</v>
      </c>
      <c r="N64" s="2"/>
      <c r="O64" s="2"/>
      <c r="P64" s="2"/>
    </row>
    <row r="65" customFormat="false" ht="23.85" hidden="false" customHeight="false" outlineLevel="0" collapsed="false">
      <c r="A65" s="2" t="n">
        <v>64</v>
      </c>
      <c r="B65" s="5" t="s">
        <v>27</v>
      </c>
      <c r="C65" s="2" t="s">
        <v>277</v>
      </c>
      <c r="D65" s="2" t="s">
        <v>241</v>
      </c>
      <c r="E65" s="2" t="s">
        <v>278</v>
      </c>
      <c r="F65" s="6" t="s">
        <v>45</v>
      </c>
      <c r="G65" s="2" t="n">
        <v>2</v>
      </c>
      <c r="H65" s="2" t="s">
        <v>203</v>
      </c>
      <c r="I65" s="2" t="n">
        <v>2</v>
      </c>
      <c r="J65" s="2" t="s">
        <v>21</v>
      </c>
      <c r="K65" s="2" t="s">
        <v>22</v>
      </c>
      <c r="L65" s="2" t="s">
        <v>279</v>
      </c>
      <c r="M65" s="2" t="s">
        <v>244</v>
      </c>
      <c r="N65" s="2" t="s">
        <v>280</v>
      </c>
      <c r="O65" s="2"/>
      <c r="P65" s="2"/>
    </row>
    <row r="66" customFormat="false" ht="23.85" hidden="false" customHeight="false" outlineLevel="0" collapsed="false">
      <c r="A66" s="2" t="n">
        <v>65</v>
      </c>
      <c r="B66" s="5" t="s">
        <v>27</v>
      </c>
      <c r="C66" s="2" t="s">
        <v>281</v>
      </c>
      <c r="D66" s="2" t="s">
        <v>241</v>
      </c>
      <c r="E66" s="2" t="s">
        <v>278</v>
      </c>
      <c r="F66" s="6" t="s">
        <v>45</v>
      </c>
      <c r="G66" s="2" t="n">
        <v>2</v>
      </c>
      <c r="H66" s="2" t="s">
        <v>203</v>
      </c>
      <c r="I66" s="2" t="n">
        <v>2</v>
      </c>
      <c r="J66" s="2" t="s">
        <v>21</v>
      </c>
      <c r="K66" s="2" t="s">
        <v>22</v>
      </c>
      <c r="L66" s="2" t="s">
        <v>282</v>
      </c>
      <c r="M66" s="2" t="s">
        <v>249</v>
      </c>
      <c r="N66" s="2" t="s">
        <v>283</v>
      </c>
      <c r="O66" s="2"/>
      <c r="P66" s="2"/>
    </row>
    <row r="67" customFormat="false" ht="23.85" hidden="false" customHeight="false" outlineLevel="0" collapsed="false">
      <c r="A67" s="10" t="n">
        <v>66</v>
      </c>
      <c r="B67" s="12" t="s">
        <v>27</v>
      </c>
      <c r="C67" s="10" t="s">
        <v>284</v>
      </c>
      <c r="D67" s="10" t="s">
        <v>139</v>
      </c>
      <c r="E67" s="10"/>
      <c r="F67" s="6" t="s">
        <v>45</v>
      </c>
      <c r="G67" s="2" t="n">
        <v>2</v>
      </c>
      <c r="H67" s="2" t="s">
        <v>203</v>
      </c>
      <c r="I67" s="2" t="n">
        <v>5</v>
      </c>
      <c r="J67" s="2" t="s">
        <v>21</v>
      </c>
      <c r="K67" s="2" t="s">
        <v>22</v>
      </c>
      <c r="L67" s="2" t="s">
        <v>285</v>
      </c>
      <c r="M67" s="2" t="s">
        <v>286</v>
      </c>
      <c r="N67" s="2"/>
      <c r="O67" s="2"/>
      <c r="P67" s="2"/>
    </row>
    <row r="68" customFormat="false" ht="23.85" hidden="false" customHeight="false" outlineLevel="0" collapsed="false">
      <c r="A68" s="2" t="n">
        <v>67</v>
      </c>
      <c r="B68" s="5" t="s">
        <v>27</v>
      </c>
      <c r="C68" s="2" t="s">
        <v>287</v>
      </c>
      <c r="D68" s="2" t="s">
        <v>18</v>
      </c>
      <c r="E68" s="2" t="s">
        <v>288</v>
      </c>
      <c r="F68" s="6" t="s">
        <v>45</v>
      </c>
      <c r="G68" s="2" t="n">
        <v>2</v>
      </c>
      <c r="H68" s="2" t="s">
        <v>203</v>
      </c>
      <c r="I68" s="2" t="n">
        <v>5</v>
      </c>
      <c r="J68" s="2" t="s">
        <v>21</v>
      </c>
      <c r="K68" s="2" t="s">
        <v>22</v>
      </c>
      <c r="L68" s="2" t="s">
        <v>289</v>
      </c>
      <c r="M68" s="2" t="s">
        <v>264</v>
      </c>
      <c r="N68" s="2" t="s">
        <v>290</v>
      </c>
      <c r="O68" s="2" t="s">
        <v>59</v>
      </c>
      <c r="P68" s="2"/>
    </row>
    <row r="69" customFormat="false" ht="23.85" hidden="false" customHeight="false" outlineLevel="0" collapsed="false">
      <c r="A69" s="2" t="n">
        <v>68</v>
      </c>
      <c r="B69" s="5" t="s">
        <v>27</v>
      </c>
      <c r="C69" s="2" t="s">
        <v>291</v>
      </c>
      <c r="D69" s="2" t="s">
        <v>18</v>
      </c>
      <c r="E69" s="2"/>
      <c r="F69" s="4" t="s">
        <v>19</v>
      </c>
      <c r="G69" s="2" t="n">
        <v>2</v>
      </c>
      <c r="H69" s="2" t="s">
        <v>203</v>
      </c>
      <c r="I69" s="2" t="n">
        <v>2</v>
      </c>
      <c r="J69" s="2" t="s">
        <v>172</v>
      </c>
      <c r="K69" s="2" t="s">
        <v>22</v>
      </c>
      <c r="L69" s="2" t="s">
        <v>292</v>
      </c>
      <c r="M69" s="2" t="s">
        <v>293</v>
      </c>
      <c r="N69" s="2" t="s">
        <v>294</v>
      </c>
      <c r="O69" s="2"/>
      <c r="P69" s="2"/>
    </row>
    <row r="70" customFormat="false" ht="23.85" hidden="false" customHeight="false" outlineLevel="0" collapsed="false">
      <c r="A70" s="2" t="n">
        <v>69</v>
      </c>
      <c r="B70" s="5" t="s">
        <v>27</v>
      </c>
      <c r="C70" s="2" t="s">
        <v>295</v>
      </c>
      <c r="D70" s="2" t="s">
        <v>18</v>
      </c>
      <c r="E70" s="2"/>
      <c r="F70" s="4" t="s">
        <v>19</v>
      </c>
      <c r="G70" s="2" t="n">
        <v>2</v>
      </c>
      <c r="H70" s="2" t="s">
        <v>203</v>
      </c>
      <c r="I70" s="2" t="n">
        <v>1</v>
      </c>
      <c r="J70" s="2" t="s">
        <v>172</v>
      </c>
      <c r="K70" s="2" t="s">
        <v>22</v>
      </c>
      <c r="L70" s="2" t="s">
        <v>296</v>
      </c>
      <c r="M70" s="2" t="s">
        <v>297</v>
      </c>
      <c r="N70" s="2" t="s">
        <v>298</v>
      </c>
      <c r="O70" s="2"/>
      <c r="P70" s="2"/>
    </row>
    <row r="71" customFormat="false" ht="35.05" hidden="false" customHeight="false" outlineLevel="0" collapsed="false">
      <c r="A71" s="2" t="n">
        <v>70</v>
      </c>
      <c r="B71" s="5" t="s">
        <v>27</v>
      </c>
      <c r="C71" s="2" t="s">
        <v>299</v>
      </c>
      <c r="D71" s="2" t="s">
        <v>18</v>
      </c>
      <c r="E71" s="2" t="s">
        <v>144</v>
      </c>
      <c r="F71" s="6" t="s">
        <v>45</v>
      </c>
      <c r="G71" s="2" t="n">
        <v>2</v>
      </c>
      <c r="H71" s="2" t="s">
        <v>203</v>
      </c>
      <c r="I71" s="2" t="n">
        <v>5</v>
      </c>
      <c r="J71" s="2" t="s">
        <v>172</v>
      </c>
      <c r="K71" s="2" t="s">
        <v>22</v>
      </c>
      <c r="L71" s="2" t="s">
        <v>300</v>
      </c>
      <c r="M71" s="2" t="s">
        <v>301</v>
      </c>
      <c r="N71" s="2" t="s">
        <v>302</v>
      </c>
      <c r="O71" s="2"/>
      <c r="P71" s="2"/>
    </row>
    <row r="72" customFormat="false" ht="23.85" hidden="false" customHeight="false" outlineLevel="0" collapsed="false">
      <c r="A72" s="2" t="n">
        <v>71</v>
      </c>
      <c r="B72" s="8" t="s">
        <v>54</v>
      </c>
      <c r="C72" s="2" t="s">
        <v>303</v>
      </c>
      <c r="D72" s="2" t="s">
        <v>18</v>
      </c>
      <c r="E72" s="2" t="s">
        <v>220</v>
      </c>
      <c r="F72" s="9" t="s">
        <v>134</v>
      </c>
      <c r="G72" s="2" t="n">
        <v>2</v>
      </c>
      <c r="H72" s="2" t="s">
        <v>203</v>
      </c>
      <c r="I72" s="2" t="n">
        <v>3</v>
      </c>
      <c r="J72" s="2" t="s">
        <v>172</v>
      </c>
      <c r="K72" s="2" t="s">
        <v>22</v>
      </c>
      <c r="L72" s="2" t="s">
        <v>304</v>
      </c>
      <c r="M72" s="2" t="s">
        <v>305</v>
      </c>
      <c r="N72" s="2" t="s">
        <v>306</v>
      </c>
      <c r="O72" s="2"/>
      <c r="P72" s="2" t="s">
        <v>307</v>
      </c>
    </row>
    <row r="73" customFormat="false" ht="23.85" hidden="false" customHeight="false" outlineLevel="0" collapsed="false">
      <c r="A73" s="2" t="n">
        <v>72</v>
      </c>
      <c r="B73" s="5" t="s">
        <v>27</v>
      </c>
      <c r="C73" s="2" t="s">
        <v>308</v>
      </c>
      <c r="D73" s="2" t="s">
        <v>18</v>
      </c>
      <c r="E73" s="2" t="s">
        <v>220</v>
      </c>
      <c r="F73" s="9" t="s">
        <v>134</v>
      </c>
      <c r="G73" s="2" t="n">
        <v>2</v>
      </c>
      <c r="H73" s="2" t="s">
        <v>203</v>
      </c>
      <c r="I73" s="2" t="n">
        <v>3</v>
      </c>
      <c r="J73" s="2" t="s">
        <v>172</v>
      </c>
      <c r="K73" s="2" t="s">
        <v>22</v>
      </c>
      <c r="L73" s="2" t="s">
        <v>309</v>
      </c>
      <c r="M73" s="2" t="s">
        <v>310</v>
      </c>
      <c r="N73" s="2" t="s">
        <v>311</v>
      </c>
      <c r="O73" s="2"/>
      <c r="P73" s="2"/>
    </row>
    <row r="74" customFormat="false" ht="35.05" hidden="false" customHeight="false" outlineLevel="0" collapsed="false">
      <c r="A74" s="2" t="n">
        <v>73</v>
      </c>
      <c r="B74" s="5" t="s">
        <v>27</v>
      </c>
      <c r="C74" s="2" t="s">
        <v>312</v>
      </c>
      <c r="D74" s="2" t="s">
        <v>18</v>
      </c>
      <c r="E74" s="2" t="s">
        <v>220</v>
      </c>
      <c r="F74" s="9" t="s">
        <v>134</v>
      </c>
      <c r="G74" s="2" t="n">
        <v>2</v>
      </c>
      <c r="H74" s="2" t="s">
        <v>203</v>
      </c>
      <c r="I74" s="2" t="n">
        <v>3</v>
      </c>
      <c r="J74" s="2" t="s">
        <v>172</v>
      </c>
      <c r="K74" s="2" t="s">
        <v>22</v>
      </c>
      <c r="L74" s="2" t="s">
        <v>313</v>
      </c>
      <c r="M74" s="2" t="s">
        <v>314</v>
      </c>
      <c r="N74" s="2" t="s">
        <v>315</v>
      </c>
      <c r="O74" s="2"/>
      <c r="P74" s="2"/>
    </row>
    <row r="75" customFormat="false" ht="35.05" hidden="false" customHeight="false" outlineLevel="0" collapsed="false">
      <c r="A75" s="2" t="n">
        <v>74</v>
      </c>
      <c r="B75" s="5" t="s">
        <v>27</v>
      </c>
      <c r="C75" s="2" t="s">
        <v>316</v>
      </c>
      <c r="D75" s="2" t="s">
        <v>18</v>
      </c>
      <c r="E75" s="2" t="s">
        <v>220</v>
      </c>
      <c r="F75" s="6" t="s">
        <v>45</v>
      </c>
      <c r="G75" s="2" t="n">
        <v>2</v>
      </c>
      <c r="H75" s="2" t="s">
        <v>203</v>
      </c>
      <c r="I75" s="2" t="n">
        <v>2</v>
      </c>
      <c r="J75" s="2" t="s">
        <v>172</v>
      </c>
      <c r="K75" s="2" t="s">
        <v>22</v>
      </c>
      <c r="L75" s="2" t="s">
        <v>317</v>
      </c>
      <c r="M75" s="2" t="s">
        <v>318</v>
      </c>
      <c r="N75" s="2" t="s">
        <v>319</v>
      </c>
      <c r="O75" s="2"/>
      <c r="P75" s="2"/>
    </row>
    <row r="76" customFormat="false" ht="23.85" hidden="false" customHeight="false" outlineLevel="0" collapsed="false">
      <c r="A76" s="10" t="n">
        <v>75</v>
      </c>
      <c r="B76" s="11" t="s">
        <v>54</v>
      </c>
      <c r="C76" s="10" t="s">
        <v>320</v>
      </c>
      <c r="D76" s="10" t="s">
        <v>139</v>
      </c>
      <c r="E76" s="10"/>
      <c r="F76" s="6" t="s">
        <v>45</v>
      </c>
      <c r="G76" s="2" t="n">
        <v>2</v>
      </c>
      <c r="H76" s="2" t="s">
        <v>203</v>
      </c>
      <c r="I76" s="2" t="n">
        <v>3</v>
      </c>
      <c r="J76" s="2" t="s">
        <v>172</v>
      </c>
      <c r="K76" s="2" t="s">
        <v>22</v>
      </c>
      <c r="L76" s="2" t="s">
        <v>321</v>
      </c>
      <c r="M76" s="2" t="s">
        <v>322</v>
      </c>
      <c r="N76" s="2"/>
      <c r="O76" s="2"/>
      <c r="P76" s="2" t="s">
        <v>323</v>
      </c>
    </row>
    <row r="77" customFormat="false" ht="23.85" hidden="false" customHeight="false" outlineLevel="0" collapsed="false">
      <c r="A77" s="2" t="n">
        <v>76</v>
      </c>
      <c r="B77" s="8" t="s">
        <v>54</v>
      </c>
      <c r="C77" s="2" t="s">
        <v>324</v>
      </c>
      <c r="D77" s="2" t="s">
        <v>18</v>
      </c>
      <c r="E77" s="2" t="s">
        <v>325</v>
      </c>
      <c r="F77" s="6" t="s">
        <v>45</v>
      </c>
      <c r="G77" s="2" t="n">
        <v>2</v>
      </c>
      <c r="H77" s="2" t="s">
        <v>203</v>
      </c>
      <c r="I77" s="2" t="n">
        <v>1</v>
      </c>
      <c r="J77" s="2" t="s">
        <v>172</v>
      </c>
      <c r="K77" s="2" t="s">
        <v>22</v>
      </c>
      <c r="L77" s="2" t="s">
        <v>326</v>
      </c>
      <c r="M77" s="2" t="s">
        <v>327</v>
      </c>
      <c r="N77" s="2" t="s">
        <v>328</v>
      </c>
      <c r="O77" s="2"/>
      <c r="P77" s="2" t="s">
        <v>329</v>
      </c>
    </row>
    <row r="78" customFormat="false" ht="23.85" hidden="false" customHeight="false" outlineLevel="0" collapsed="false">
      <c r="A78" s="2" t="n">
        <v>77</v>
      </c>
      <c r="B78" s="8" t="s">
        <v>54</v>
      </c>
      <c r="C78" s="2" t="s">
        <v>330</v>
      </c>
      <c r="D78" s="2" t="s">
        <v>18</v>
      </c>
      <c r="E78" s="2" t="s">
        <v>325</v>
      </c>
      <c r="F78" s="6" t="s">
        <v>45</v>
      </c>
      <c r="G78" s="2" t="n">
        <v>2</v>
      </c>
      <c r="H78" s="2" t="s">
        <v>203</v>
      </c>
      <c r="I78" s="2" t="n">
        <v>1</v>
      </c>
      <c r="J78" s="2" t="s">
        <v>172</v>
      </c>
      <c r="K78" s="2" t="s">
        <v>22</v>
      </c>
      <c r="L78" s="2" t="s">
        <v>331</v>
      </c>
      <c r="M78" s="2" t="s">
        <v>332</v>
      </c>
      <c r="N78" s="2" t="s">
        <v>333</v>
      </c>
      <c r="O78" s="2"/>
      <c r="P78" s="2" t="s">
        <v>334</v>
      </c>
    </row>
    <row r="79" customFormat="false" ht="35.05" hidden="false" customHeight="false" outlineLevel="0" collapsed="false">
      <c r="A79" s="2" t="n">
        <v>78</v>
      </c>
      <c r="B79" s="8" t="s">
        <v>54</v>
      </c>
      <c r="C79" s="2" t="s">
        <v>335</v>
      </c>
      <c r="D79" s="2" t="s">
        <v>18</v>
      </c>
      <c r="E79" s="2" t="s">
        <v>325</v>
      </c>
      <c r="F79" s="6" t="s">
        <v>45</v>
      </c>
      <c r="G79" s="2" t="n">
        <v>2</v>
      </c>
      <c r="H79" s="2" t="s">
        <v>203</v>
      </c>
      <c r="I79" s="2" t="n">
        <v>1</v>
      </c>
      <c r="J79" s="2" t="s">
        <v>172</v>
      </c>
      <c r="K79" s="2" t="s">
        <v>22</v>
      </c>
      <c r="L79" s="2" t="s">
        <v>336</v>
      </c>
      <c r="M79" s="2" t="s">
        <v>337</v>
      </c>
      <c r="N79" s="2" t="s">
        <v>338</v>
      </c>
      <c r="O79" s="2" t="s">
        <v>339</v>
      </c>
      <c r="P79" s="2" t="s">
        <v>340</v>
      </c>
    </row>
    <row r="80" customFormat="false" ht="23.85" hidden="false" customHeight="false" outlineLevel="0" collapsed="false">
      <c r="A80" s="2" t="n">
        <v>79</v>
      </c>
      <c r="B80" s="8" t="s">
        <v>54</v>
      </c>
      <c r="C80" s="2" t="s">
        <v>341</v>
      </c>
      <c r="D80" s="2" t="s">
        <v>241</v>
      </c>
      <c r="E80" s="2" t="s">
        <v>242</v>
      </c>
      <c r="F80" s="7" t="s">
        <v>50</v>
      </c>
      <c r="G80" s="2" t="n">
        <v>2</v>
      </c>
      <c r="H80" s="2" t="s">
        <v>203</v>
      </c>
      <c r="I80" s="2" t="n">
        <v>3</v>
      </c>
      <c r="J80" s="2" t="s">
        <v>172</v>
      </c>
      <c r="K80" s="2" t="s">
        <v>22</v>
      </c>
      <c r="L80" s="2" t="s">
        <v>342</v>
      </c>
      <c r="M80" s="2" t="s">
        <v>343</v>
      </c>
      <c r="N80" s="2" t="s">
        <v>344</v>
      </c>
      <c r="O80" s="2" t="s">
        <v>105</v>
      </c>
      <c r="P80" s="2" t="s">
        <v>345</v>
      </c>
    </row>
    <row r="81" customFormat="false" ht="23.85" hidden="false" customHeight="false" outlineLevel="0" collapsed="false">
      <c r="A81" s="10" t="n">
        <v>80</v>
      </c>
      <c r="B81" s="11" t="s">
        <v>54</v>
      </c>
      <c r="C81" s="10" t="s">
        <v>346</v>
      </c>
      <c r="D81" s="10" t="s">
        <v>139</v>
      </c>
      <c r="E81" s="10"/>
      <c r="F81" s="7" t="s">
        <v>50</v>
      </c>
      <c r="G81" s="2" t="n">
        <v>2</v>
      </c>
      <c r="H81" s="2" t="s">
        <v>203</v>
      </c>
      <c r="I81" s="2" t="n">
        <v>3</v>
      </c>
      <c r="J81" s="2" t="s">
        <v>172</v>
      </c>
      <c r="K81" s="2" t="s">
        <v>22</v>
      </c>
      <c r="L81" s="2" t="s">
        <v>347</v>
      </c>
      <c r="M81" s="2" t="s">
        <v>348</v>
      </c>
      <c r="N81" s="2"/>
      <c r="O81" s="2"/>
      <c r="P81" s="2" t="s">
        <v>349</v>
      </c>
    </row>
    <row r="82" customFormat="false" ht="35.05" hidden="false" customHeight="false" outlineLevel="0" collapsed="false">
      <c r="A82" s="2" t="n">
        <v>81</v>
      </c>
      <c r="B82" s="5" t="s">
        <v>27</v>
      </c>
      <c r="C82" s="2" t="s">
        <v>350</v>
      </c>
      <c r="D82" s="2" t="s">
        <v>18</v>
      </c>
      <c r="E82" s="2" t="s">
        <v>351</v>
      </c>
      <c r="F82" s="7" t="s">
        <v>50</v>
      </c>
      <c r="G82" s="2" t="n">
        <v>2</v>
      </c>
      <c r="H82" s="2" t="s">
        <v>203</v>
      </c>
      <c r="I82" s="2" t="n">
        <v>1</v>
      </c>
      <c r="J82" s="2" t="s">
        <v>172</v>
      </c>
      <c r="K82" s="2" t="s">
        <v>22</v>
      </c>
      <c r="L82" s="2" t="s">
        <v>352</v>
      </c>
      <c r="M82" s="2" t="s">
        <v>327</v>
      </c>
      <c r="N82" s="2" t="s">
        <v>353</v>
      </c>
      <c r="O82" s="2"/>
      <c r="P82" s="2"/>
    </row>
    <row r="83" customFormat="false" ht="23.85" hidden="false" customHeight="false" outlineLevel="0" collapsed="false">
      <c r="A83" s="2" t="n">
        <v>82</v>
      </c>
      <c r="B83" s="5" t="s">
        <v>27</v>
      </c>
      <c r="C83" s="2" t="s">
        <v>354</v>
      </c>
      <c r="D83" s="2" t="s">
        <v>18</v>
      </c>
      <c r="E83" s="2" t="s">
        <v>351</v>
      </c>
      <c r="F83" s="7" t="s">
        <v>50</v>
      </c>
      <c r="G83" s="2" t="n">
        <v>2</v>
      </c>
      <c r="H83" s="2" t="s">
        <v>203</v>
      </c>
      <c r="I83" s="2" t="n">
        <v>1</v>
      </c>
      <c r="J83" s="2" t="s">
        <v>172</v>
      </c>
      <c r="K83" s="2" t="s">
        <v>22</v>
      </c>
      <c r="L83" s="2" t="s">
        <v>355</v>
      </c>
      <c r="M83" s="2" t="s">
        <v>332</v>
      </c>
      <c r="N83" s="2" t="s">
        <v>356</v>
      </c>
      <c r="O83" s="2"/>
      <c r="P83" s="2"/>
    </row>
    <row r="84" customFormat="false" ht="35.05" hidden="false" customHeight="false" outlineLevel="0" collapsed="false">
      <c r="A84" s="2" t="n">
        <v>83</v>
      </c>
      <c r="B84" s="5" t="s">
        <v>27</v>
      </c>
      <c r="C84" s="2" t="s">
        <v>357</v>
      </c>
      <c r="D84" s="2" t="s">
        <v>18</v>
      </c>
      <c r="E84" s="2" t="s">
        <v>351</v>
      </c>
      <c r="F84" s="7" t="s">
        <v>50</v>
      </c>
      <c r="G84" s="2" t="n">
        <v>2</v>
      </c>
      <c r="H84" s="2" t="s">
        <v>203</v>
      </c>
      <c r="I84" s="2" t="n">
        <v>1</v>
      </c>
      <c r="J84" s="2" t="s">
        <v>172</v>
      </c>
      <c r="K84" s="2" t="s">
        <v>22</v>
      </c>
      <c r="L84" s="2" t="s">
        <v>358</v>
      </c>
      <c r="M84" s="2" t="s">
        <v>359</v>
      </c>
      <c r="N84" s="2" t="s">
        <v>360</v>
      </c>
      <c r="O84" s="2" t="s">
        <v>361</v>
      </c>
      <c r="P84" s="2"/>
    </row>
    <row r="85" customFormat="false" ht="35.05" hidden="false" customHeight="false" outlineLevel="0" collapsed="false">
      <c r="A85" s="2" t="n">
        <v>84</v>
      </c>
      <c r="B85" s="5" t="s">
        <v>27</v>
      </c>
      <c r="C85" s="2" t="s">
        <v>362</v>
      </c>
      <c r="D85" s="2" t="s">
        <v>18</v>
      </c>
      <c r="E85" s="2" t="s">
        <v>163</v>
      </c>
      <c r="F85" s="7" t="s">
        <v>50</v>
      </c>
      <c r="G85" s="2" t="n">
        <v>2</v>
      </c>
      <c r="H85" s="2" t="s">
        <v>203</v>
      </c>
      <c r="I85" s="2" t="n">
        <v>5</v>
      </c>
      <c r="J85" s="2" t="s">
        <v>172</v>
      </c>
      <c r="K85" s="2" t="s">
        <v>22</v>
      </c>
      <c r="L85" s="2" t="s">
        <v>363</v>
      </c>
      <c r="M85" s="2" t="s">
        <v>364</v>
      </c>
      <c r="N85" s="2" t="s">
        <v>365</v>
      </c>
      <c r="O85" s="2"/>
      <c r="P85" s="2"/>
    </row>
    <row r="86" customFormat="false" ht="23.85" hidden="false" customHeight="false" outlineLevel="0" collapsed="false">
      <c r="A86" s="2" t="n">
        <v>85</v>
      </c>
      <c r="B86" s="5" t="s">
        <v>27</v>
      </c>
      <c r="C86" s="2" t="s">
        <v>366</v>
      </c>
      <c r="D86" s="2" t="s">
        <v>241</v>
      </c>
      <c r="E86" s="2" t="s">
        <v>278</v>
      </c>
      <c r="F86" s="6" t="s">
        <v>45</v>
      </c>
      <c r="G86" s="2" t="n">
        <v>2</v>
      </c>
      <c r="H86" s="2" t="s">
        <v>203</v>
      </c>
      <c r="I86" s="2" t="n">
        <v>3</v>
      </c>
      <c r="J86" s="2" t="s">
        <v>172</v>
      </c>
      <c r="K86" s="2" t="s">
        <v>22</v>
      </c>
      <c r="L86" s="2" t="s">
        <v>367</v>
      </c>
      <c r="M86" s="2" t="s">
        <v>368</v>
      </c>
      <c r="N86" s="2" t="s">
        <v>369</v>
      </c>
      <c r="O86" s="2" t="s">
        <v>69</v>
      </c>
      <c r="P86" s="2"/>
    </row>
    <row r="87" customFormat="false" ht="23.85" hidden="false" customHeight="false" outlineLevel="0" collapsed="false">
      <c r="A87" s="2" t="n">
        <v>86</v>
      </c>
      <c r="B87" s="5" t="s">
        <v>27</v>
      </c>
      <c r="C87" s="2" t="s">
        <v>370</v>
      </c>
      <c r="D87" s="2" t="s">
        <v>18</v>
      </c>
      <c r="E87" s="2"/>
      <c r="F87" s="9" t="s">
        <v>134</v>
      </c>
      <c r="G87" s="2" t="n">
        <v>2</v>
      </c>
      <c r="H87" s="2" t="s">
        <v>203</v>
      </c>
      <c r="I87" s="2" t="n">
        <v>3</v>
      </c>
      <c r="J87" s="2" t="s">
        <v>172</v>
      </c>
      <c r="K87" s="2" t="s">
        <v>22</v>
      </c>
      <c r="L87" s="2" t="s">
        <v>371</v>
      </c>
      <c r="M87" s="2" t="s">
        <v>372</v>
      </c>
      <c r="N87" s="2" t="s">
        <v>373</v>
      </c>
      <c r="O87" s="2"/>
      <c r="P87" s="2"/>
    </row>
    <row r="88" customFormat="false" ht="23.85" hidden="false" customHeight="false" outlineLevel="0" collapsed="false">
      <c r="A88" s="2" t="n">
        <v>87</v>
      </c>
      <c r="B88" s="5" t="s">
        <v>27</v>
      </c>
      <c r="C88" s="2" t="s">
        <v>374</v>
      </c>
      <c r="D88" s="2" t="s">
        <v>18</v>
      </c>
      <c r="E88" s="2"/>
      <c r="F88" s="4" t="s">
        <v>19</v>
      </c>
      <c r="G88" s="2" t="n">
        <v>3</v>
      </c>
      <c r="H88" s="2" t="s">
        <v>375</v>
      </c>
      <c r="I88" s="2" t="n">
        <v>3</v>
      </c>
      <c r="J88" s="2" t="s">
        <v>21</v>
      </c>
      <c r="K88" s="2" t="s">
        <v>22</v>
      </c>
      <c r="L88" s="2" t="s">
        <v>376</v>
      </c>
      <c r="M88" s="2" t="s">
        <v>377</v>
      </c>
      <c r="N88" s="2" t="s">
        <v>378</v>
      </c>
      <c r="O88" s="2"/>
      <c r="P88" s="2"/>
    </row>
    <row r="89" customFormat="false" ht="23.85" hidden="false" customHeight="false" outlineLevel="0" collapsed="false">
      <c r="A89" s="10" t="n">
        <v>88</v>
      </c>
      <c r="B89" s="11" t="s">
        <v>54</v>
      </c>
      <c r="C89" s="10" t="s">
        <v>379</v>
      </c>
      <c r="D89" s="10" t="s">
        <v>139</v>
      </c>
      <c r="E89" s="10"/>
      <c r="F89" s="6" t="s">
        <v>45</v>
      </c>
      <c r="G89" s="2" t="n">
        <v>3</v>
      </c>
      <c r="H89" s="2" t="s">
        <v>375</v>
      </c>
      <c r="I89" s="2" t="n">
        <v>21</v>
      </c>
      <c r="J89" s="2" t="s">
        <v>21</v>
      </c>
      <c r="K89" s="2" t="s">
        <v>22</v>
      </c>
      <c r="L89" s="2" t="s">
        <v>380</v>
      </c>
      <c r="M89" s="2" t="s">
        <v>381</v>
      </c>
      <c r="N89" s="2"/>
      <c r="O89" s="2"/>
      <c r="P89" s="2" t="s">
        <v>382</v>
      </c>
    </row>
    <row r="90" customFormat="false" ht="23.85" hidden="false" customHeight="false" outlineLevel="0" collapsed="false">
      <c r="A90" s="2" t="n">
        <v>89</v>
      </c>
      <c r="B90" s="3" t="s">
        <v>16</v>
      </c>
      <c r="C90" s="2" t="s">
        <v>383</v>
      </c>
      <c r="D90" s="2" t="s">
        <v>18</v>
      </c>
      <c r="E90" s="2" t="s">
        <v>384</v>
      </c>
      <c r="F90" s="6" t="s">
        <v>45</v>
      </c>
      <c r="G90" s="2" t="n">
        <v>3</v>
      </c>
      <c r="H90" s="2" t="s">
        <v>375</v>
      </c>
      <c r="I90" s="2" t="n">
        <v>8</v>
      </c>
      <c r="J90" s="2" t="s">
        <v>21</v>
      </c>
      <c r="K90" s="2" t="s">
        <v>22</v>
      </c>
      <c r="L90" s="2" t="s">
        <v>385</v>
      </c>
      <c r="M90" s="2" t="s">
        <v>386</v>
      </c>
      <c r="N90" s="2" t="s">
        <v>387</v>
      </c>
      <c r="O90" s="2" t="s">
        <v>88</v>
      </c>
      <c r="P90" s="2" t="s">
        <v>388</v>
      </c>
    </row>
    <row r="91" customFormat="false" ht="23.85" hidden="false" customHeight="false" outlineLevel="0" collapsed="false">
      <c r="A91" s="10" t="n">
        <v>90</v>
      </c>
      <c r="B91" s="13" t="s">
        <v>16</v>
      </c>
      <c r="C91" s="10" t="s">
        <v>389</v>
      </c>
      <c r="D91" s="10" t="s">
        <v>139</v>
      </c>
      <c r="E91" s="10"/>
      <c r="F91" s="6" t="s">
        <v>45</v>
      </c>
      <c r="G91" s="2" t="n">
        <v>3</v>
      </c>
      <c r="H91" s="2" t="s">
        <v>375</v>
      </c>
      <c r="I91" s="2" t="n">
        <v>3</v>
      </c>
      <c r="J91" s="2" t="s">
        <v>21</v>
      </c>
      <c r="K91" s="2" t="s">
        <v>22</v>
      </c>
      <c r="L91" s="2" t="s">
        <v>390</v>
      </c>
      <c r="M91" s="2" t="s">
        <v>391</v>
      </c>
      <c r="N91" s="2"/>
      <c r="O91" s="2"/>
      <c r="P91" s="2" t="s">
        <v>392</v>
      </c>
    </row>
    <row r="92" customFormat="false" ht="35.05" hidden="false" customHeight="false" outlineLevel="0" collapsed="false">
      <c r="A92" s="2" t="n">
        <v>91</v>
      </c>
      <c r="B92" s="5" t="s">
        <v>27</v>
      </c>
      <c r="C92" s="2" t="s">
        <v>393</v>
      </c>
      <c r="D92" s="2" t="s">
        <v>394</v>
      </c>
      <c r="E92" s="2" t="s">
        <v>220</v>
      </c>
      <c r="F92" s="6" t="s">
        <v>45</v>
      </c>
      <c r="G92" s="2" t="n">
        <v>3</v>
      </c>
      <c r="H92" s="2" t="s">
        <v>375</v>
      </c>
      <c r="I92" s="2" t="n">
        <v>5</v>
      </c>
      <c r="J92" s="2" t="s">
        <v>21</v>
      </c>
      <c r="K92" s="2" t="s">
        <v>22</v>
      </c>
      <c r="L92" s="2" t="s">
        <v>395</v>
      </c>
      <c r="M92" s="2" t="s">
        <v>396</v>
      </c>
      <c r="N92" s="2" t="s">
        <v>397</v>
      </c>
      <c r="O92" s="2" t="s">
        <v>59</v>
      </c>
      <c r="P92" s="2"/>
    </row>
    <row r="93" customFormat="false" ht="35.05" hidden="false" customHeight="false" outlineLevel="0" collapsed="false">
      <c r="A93" s="2" t="n">
        <v>92</v>
      </c>
      <c r="B93" s="5" t="s">
        <v>27</v>
      </c>
      <c r="C93" s="2" t="s">
        <v>398</v>
      </c>
      <c r="D93" s="2" t="s">
        <v>394</v>
      </c>
      <c r="E93" s="2" t="s">
        <v>220</v>
      </c>
      <c r="F93" s="6" t="s">
        <v>45</v>
      </c>
      <c r="G93" s="2" t="n">
        <v>3</v>
      </c>
      <c r="H93" s="2" t="s">
        <v>375</v>
      </c>
      <c r="I93" s="2" t="n">
        <v>5</v>
      </c>
      <c r="J93" s="2" t="s">
        <v>21</v>
      </c>
      <c r="K93" s="2" t="s">
        <v>22</v>
      </c>
      <c r="L93" s="2" t="s">
        <v>399</v>
      </c>
      <c r="M93" s="2" t="s">
        <v>400</v>
      </c>
      <c r="N93" s="2" t="s">
        <v>401</v>
      </c>
      <c r="O93" s="2" t="s">
        <v>77</v>
      </c>
      <c r="P93" s="2"/>
    </row>
    <row r="94" customFormat="false" ht="23.85" hidden="false" customHeight="false" outlineLevel="0" collapsed="false">
      <c r="A94" s="2" t="n">
        <v>93</v>
      </c>
      <c r="B94" s="5" t="s">
        <v>27</v>
      </c>
      <c r="C94" s="2" t="s">
        <v>402</v>
      </c>
      <c r="D94" s="2" t="s">
        <v>394</v>
      </c>
      <c r="E94" s="2" t="s">
        <v>220</v>
      </c>
      <c r="F94" s="9" t="s">
        <v>134</v>
      </c>
      <c r="G94" s="2" t="n">
        <v>3</v>
      </c>
      <c r="H94" s="2" t="s">
        <v>375</v>
      </c>
      <c r="I94" s="2" t="n">
        <v>3</v>
      </c>
      <c r="J94" s="2" t="s">
        <v>21</v>
      </c>
      <c r="K94" s="2" t="s">
        <v>22</v>
      </c>
      <c r="L94" s="2" t="s">
        <v>403</v>
      </c>
      <c r="M94" s="2" t="s">
        <v>404</v>
      </c>
      <c r="N94" s="2" t="s">
        <v>405</v>
      </c>
      <c r="O94" s="2"/>
      <c r="P94" s="2"/>
    </row>
    <row r="95" customFormat="false" ht="23.85" hidden="false" customHeight="false" outlineLevel="0" collapsed="false">
      <c r="A95" s="2" t="n">
        <v>94</v>
      </c>
      <c r="B95" s="5" t="s">
        <v>27</v>
      </c>
      <c r="C95" s="2" t="s">
        <v>406</v>
      </c>
      <c r="D95" s="2" t="s">
        <v>394</v>
      </c>
      <c r="E95" s="2" t="s">
        <v>232</v>
      </c>
      <c r="F95" s="6" t="s">
        <v>45</v>
      </c>
      <c r="G95" s="2" t="n">
        <v>3</v>
      </c>
      <c r="H95" s="2" t="s">
        <v>375</v>
      </c>
      <c r="I95" s="2" t="n">
        <v>5</v>
      </c>
      <c r="J95" s="2" t="s">
        <v>21</v>
      </c>
      <c r="K95" s="2" t="s">
        <v>22</v>
      </c>
      <c r="L95" s="2" t="s">
        <v>407</v>
      </c>
      <c r="M95" s="2" t="s">
        <v>408</v>
      </c>
      <c r="N95" s="2" t="s">
        <v>409</v>
      </c>
      <c r="O95" s="2" t="s">
        <v>69</v>
      </c>
      <c r="P95" s="2"/>
    </row>
    <row r="96" customFormat="false" ht="23.85" hidden="false" customHeight="false" outlineLevel="0" collapsed="false">
      <c r="A96" s="2" t="n">
        <v>95</v>
      </c>
      <c r="B96" s="5" t="s">
        <v>27</v>
      </c>
      <c r="C96" s="2" t="s">
        <v>410</v>
      </c>
      <c r="D96" s="2" t="s">
        <v>18</v>
      </c>
      <c r="E96" s="2" t="s">
        <v>411</v>
      </c>
      <c r="F96" s="9" t="s">
        <v>134</v>
      </c>
      <c r="G96" s="2" t="n">
        <v>3</v>
      </c>
      <c r="H96" s="2" t="s">
        <v>375</v>
      </c>
      <c r="I96" s="2" t="n">
        <v>3</v>
      </c>
      <c r="J96" s="2" t="s">
        <v>21</v>
      </c>
      <c r="K96" s="2" t="s">
        <v>22</v>
      </c>
      <c r="L96" s="2" t="s">
        <v>412</v>
      </c>
      <c r="M96" s="2" t="s">
        <v>413</v>
      </c>
      <c r="N96" s="2" t="s">
        <v>414</v>
      </c>
      <c r="O96" s="2"/>
      <c r="P96" s="2"/>
    </row>
    <row r="97" customFormat="false" ht="23.85" hidden="false" customHeight="false" outlineLevel="0" collapsed="false">
      <c r="A97" s="2" t="n">
        <v>96</v>
      </c>
      <c r="B97" s="5" t="s">
        <v>27</v>
      </c>
      <c r="C97" s="2" t="s">
        <v>415</v>
      </c>
      <c r="D97" s="2" t="s">
        <v>18</v>
      </c>
      <c r="E97" s="2" t="s">
        <v>411</v>
      </c>
      <c r="F97" s="6" t="s">
        <v>45</v>
      </c>
      <c r="G97" s="2" t="n">
        <v>3</v>
      </c>
      <c r="H97" s="2" t="s">
        <v>375</v>
      </c>
      <c r="I97" s="2" t="n">
        <v>3</v>
      </c>
      <c r="J97" s="2" t="s">
        <v>21</v>
      </c>
      <c r="K97" s="2" t="s">
        <v>22</v>
      </c>
      <c r="L97" s="2" t="s">
        <v>416</v>
      </c>
      <c r="M97" s="2" t="s">
        <v>417</v>
      </c>
      <c r="N97" s="2" t="s">
        <v>418</v>
      </c>
      <c r="O97" s="2"/>
      <c r="P97" s="2"/>
    </row>
    <row r="98" customFormat="false" ht="23.85" hidden="false" customHeight="false" outlineLevel="0" collapsed="false">
      <c r="A98" s="2" t="n">
        <v>97</v>
      </c>
      <c r="B98" s="5" t="s">
        <v>27</v>
      </c>
      <c r="C98" s="2" t="s">
        <v>419</v>
      </c>
      <c r="D98" s="2" t="s">
        <v>18</v>
      </c>
      <c r="E98" s="2" t="s">
        <v>411</v>
      </c>
      <c r="F98" s="6" t="s">
        <v>45</v>
      </c>
      <c r="G98" s="2" t="n">
        <v>3</v>
      </c>
      <c r="H98" s="2" t="s">
        <v>375</v>
      </c>
      <c r="I98" s="2" t="n">
        <v>2</v>
      </c>
      <c r="J98" s="2" t="s">
        <v>21</v>
      </c>
      <c r="K98" s="2" t="s">
        <v>22</v>
      </c>
      <c r="L98" s="2" t="s">
        <v>420</v>
      </c>
      <c r="M98" s="2" t="s">
        <v>421</v>
      </c>
      <c r="N98" s="2" t="s">
        <v>422</v>
      </c>
      <c r="O98" s="2"/>
      <c r="P98" s="2"/>
    </row>
    <row r="99" customFormat="false" ht="23.85" hidden="false" customHeight="false" outlineLevel="0" collapsed="false">
      <c r="A99" s="2" t="n">
        <v>98</v>
      </c>
      <c r="B99" s="8" t="s">
        <v>54</v>
      </c>
      <c r="C99" s="2" t="s">
        <v>423</v>
      </c>
      <c r="D99" s="2" t="s">
        <v>241</v>
      </c>
      <c r="E99" s="2" t="s">
        <v>242</v>
      </c>
      <c r="F99" s="7" t="s">
        <v>50</v>
      </c>
      <c r="G99" s="2" t="n">
        <v>3</v>
      </c>
      <c r="H99" s="2" t="s">
        <v>375</v>
      </c>
      <c r="I99" s="2" t="n">
        <v>5</v>
      </c>
      <c r="J99" s="2" t="s">
        <v>21</v>
      </c>
      <c r="K99" s="2" t="s">
        <v>22</v>
      </c>
      <c r="L99" s="2" t="s">
        <v>424</v>
      </c>
      <c r="M99" s="2" t="s">
        <v>425</v>
      </c>
      <c r="N99" s="2" t="s">
        <v>426</v>
      </c>
      <c r="O99" s="2" t="s">
        <v>118</v>
      </c>
      <c r="P99" s="2" t="s">
        <v>427</v>
      </c>
    </row>
    <row r="100" customFormat="false" ht="23.85" hidden="false" customHeight="false" outlineLevel="0" collapsed="false">
      <c r="A100" s="2" t="n">
        <v>99</v>
      </c>
      <c r="B100" s="8" t="s">
        <v>54</v>
      </c>
      <c r="C100" s="2" t="s">
        <v>428</v>
      </c>
      <c r="D100" s="2" t="s">
        <v>241</v>
      </c>
      <c r="E100" s="2" t="s">
        <v>242</v>
      </c>
      <c r="F100" s="7" t="s">
        <v>50</v>
      </c>
      <c r="G100" s="2" t="n">
        <v>3</v>
      </c>
      <c r="H100" s="2" t="s">
        <v>375</v>
      </c>
      <c r="I100" s="2" t="n">
        <v>5</v>
      </c>
      <c r="J100" s="2" t="s">
        <v>21</v>
      </c>
      <c r="K100" s="2" t="s">
        <v>22</v>
      </c>
      <c r="L100" s="2" t="s">
        <v>429</v>
      </c>
      <c r="M100" s="2" t="s">
        <v>430</v>
      </c>
      <c r="N100" s="2" t="s">
        <v>431</v>
      </c>
      <c r="O100" s="2"/>
      <c r="P100" s="2" t="s">
        <v>432</v>
      </c>
    </row>
    <row r="101" customFormat="false" ht="23.85" hidden="false" customHeight="false" outlineLevel="0" collapsed="false">
      <c r="A101" s="2" t="n">
        <v>100</v>
      </c>
      <c r="B101" s="5" t="s">
        <v>27</v>
      </c>
      <c r="C101" s="2" t="s">
        <v>433</v>
      </c>
      <c r="D101" s="2" t="s">
        <v>394</v>
      </c>
      <c r="E101" s="2" t="s">
        <v>242</v>
      </c>
      <c r="F101" s="7" t="s">
        <v>50</v>
      </c>
      <c r="G101" s="2" t="n">
        <v>3</v>
      </c>
      <c r="H101" s="2" t="s">
        <v>375</v>
      </c>
      <c r="I101" s="2" t="n">
        <v>5</v>
      </c>
      <c r="J101" s="2" t="s">
        <v>21</v>
      </c>
      <c r="K101" s="2" t="s">
        <v>22</v>
      </c>
      <c r="L101" s="2" t="s">
        <v>434</v>
      </c>
      <c r="M101" s="2" t="s">
        <v>408</v>
      </c>
      <c r="N101" s="2" t="s">
        <v>435</v>
      </c>
      <c r="O101" s="2" t="s">
        <v>105</v>
      </c>
      <c r="P101" s="2"/>
    </row>
    <row r="102" customFormat="false" ht="23.85" hidden="false" customHeight="false" outlineLevel="0" collapsed="false">
      <c r="A102" s="2" t="n">
        <v>101</v>
      </c>
      <c r="B102" s="5" t="s">
        <v>27</v>
      </c>
      <c r="C102" s="2" t="s">
        <v>436</v>
      </c>
      <c r="D102" s="2" t="s">
        <v>18</v>
      </c>
      <c r="E102" s="2" t="s">
        <v>163</v>
      </c>
      <c r="F102" s="9" t="s">
        <v>134</v>
      </c>
      <c r="G102" s="2" t="n">
        <v>3</v>
      </c>
      <c r="H102" s="2" t="s">
        <v>375</v>
      </c>
      <c r="I102" s="2" t="n">
        <v>5</v>
      </c>
      <c r="J102" s="2" t="s">
        <v>21</v>
      </c>
      <c r="K102" s="2" t="s">
        <v>22</v>
      </c>
      <c r="L102" s="2" t="s">
        <v>437</v>
      </c>
      <c r="M102" s="2" t="s">
        <v>438</v>
      </c>
      <c r="N102" s="2" t="s">
        <v>439</v>
      </c>
      <c r="O102" s="2" t="s">
        <v>440</v>
      </c>
      <c r="P102" s="2"/>
    </row>
    <row r="103" customFormat="false" ht="23.85" hidden="false" customHeight="false" outlineLevel="0" collapsed="false">
      <c r="A103" s="10" t="n">
        <v>102</v>
      </c>
      <c r="B103" s="12" t="s">
        <v>27</v>
      </c>
      <c r="C103" s="10" t="s">
        <v>441</v>
      </c>
      <c r="D103" s="10" t="s">
        <v>139</v>
      </c>
      <c r="E103" s="10"/>
      <c r="F103" s="7" t="s">
        <v>50</v>
      </c>
      <c r="G103" s="2" t="n">
        <v>3</v>
      </c>
      <c r="H103" s="2" t="s">
        <v>375</v>
      </c>
      <c r="I103" s="2" t="n">
        <v>21</v>
      </c>
      <c r="J103" s="2" t="s">
        <v>21</v>
      </c>
      <c r="K103" s="2" t="s">
        <v>22</v>
      </c>
      <c r="L103" s="2" t="s">
        <v>442</v>
      </c>
      <c r="M103" s="2" t="s">
        <v>443</v>
      </c>
      <c r="N103" s="2"/>
      <c r="O103" s="2"/>
      <c r="P103" s="2"/>
    </row>
    <row r="104" customFormat="false" ht="23.85" hidden="false" customHeight="false" outlineLevel="0" collapsed="false">
      <c r="A104" s="2" t="n">
        <v>103</v>
      </c>
      <c r="B104" s="5" t="s">
        <v>27</v>
      </c>
      <c r="C104" s="2" t="s">
        <v>444</v>
      </c>
      <c r="D104" s="2" t="s">
        <v>18</v>
      </c>
      <c r="E104" s="2" t="s">
        <v>445</v>
      </c>
      <c r="F104" s="7" t="s">
        <v>50</v>
      </c>
      <c r="G104" s="2" t="n">
        <v>3</v>
      </c>
      <c r="H104" s="2" t="s">
        <v>375</v>
      </c>
      <c r="I104" s="2" t="n">
        <v>8</v>
      </c>
      <c r="J104" s="2" t="s">
        <v>21</v>
      </c>
      <c r="K104" s="2" t="s">
        <v>22</v>
      </c>
      <c r="L104" s="2" t="s">
        <v>446</v>
      </c>
      <c r="M104" s="2" t="s">
        <v>447</v>
      </c>
      <c r="N104" s="2" t="s">
        <v>448</v>
      </c>
      <c r="O104" s="2" t="s">
        <v>118</v>
      </c>
      <c r="P104" s="2"/>
    </row>
    <row r="105" customFormat="false" ht="35.05" hidden="false" customHeight="false" outlineLevel="0" collapsed="false">
      <c r="A105" s="2" t="n">
        <v>104</v>
      </c>
      <c r="B105" s="5" t="s">
        <v>27</v>
      </c>
      <c r="C105" s="2" t="s">
        <v>449</v>
      </c>
      <c r="D105" s="2" t="s">
        <v>394</v>
      </c>
      <c r="E105" s="2" t="s">
        <v>445</v>
      </c>
      <c r="F105" s="9" t="s">
        <v>134</v>
      </c>
      <c r="G105" s="2" t="n">
        <v>3</v>
      </c>
      <c r="H105" s="2" t="s">
        <v>375</v>
      </c>
      <c r="I105" s="2" t="n">
        <v>5</v>
      </c>
      <c r="J105" s="2" t="s">
        <v>21</v>
      </c>
      <c r="K105" s="2" t="s">
        <v>22</v>
      </c>
      <c r="L105" s="2" t="s">
        <v>450</v>
      </c>
      <c r="M105" s="2" t="s">
        <v>451</v>
      </c>
      <c r="N105" s="2" t="s">
        <v>452</v>
      </c>
      <c r="O105" s="2" t="s">
        <v>453</v>
      </c>
      <c r="P105" s="2"/>
    </row>
    <row r="106" customFormat="false" ht="23.85" hidden="false" customHeight="false" outlineLevel="0" collapsed="false">
      <c r="A106" s="10" t="n">
        <v>105</v>
      </c>
      <c r="B106" s="12" t="s">
        <v>27</v>
      </c>
      <c r="C106" s="10" t="s">
        <v>454</v>
      </c>
      <c r="D106" s="10" t="s">
        <v>139</v>
      </c>
      <c r="E106" s="10"/>
      <c r="F106" s="7" t="s">
        <v>50</v>
      </c>
      <c r="G106" s="2" t="n">
        <v>3</v>
      </c>
      <c r="H106" s="2" t="s">
        <v>375</v>
      </c>
      <c r="I106" s="2" t="n">
        <v>3</v>
      </c>
      <c r="J106" s="2" t="s">
        <v>21</v>
      </c>
      <c r="K106" s="2" t="s">
        <v>22</v>
      </c>
      <c r="L106" s="2" t="s">
        <v>455</v>
      </c>
      <c r="M106" s="2" t="s">
        <v>456</v>
      </c>
      <c r="N106" s="2"/>
      <c r="O106" s="2"/>
      <c r="P106" s="2"/>
    </row>
    <row r="107" customFormat="false" ht="35.05" hidden="false" customHeight="false" outlineLevel="0" collapsed="false">
      <c r="A107" s="2" t="n">
        <v>106</v>
      </c>
      <c r="B107" s="5" t="s">
        <v>27</v>
      </c>
      <c r="C107" s="2" t="s">
        <v>457</v>
      </c>
      <c r="D107" s="2" t="s">
        <v>394</v>
      </c>
      <c r="E107" s="2" t="s">
        <v>458</v>
      </c>
      <c r="F107" s="7" t="s">
        <v>50</v>
      </c>
      <c r="G107" s="2" t="n">
        <v>3</v>
      </c>
      <c r="H107" s="2" t="s">
        <v>375</v>
      </c>
      <c r="I107" s="2" t="n">
        <v>5</v>
      </c>
      <c r="J107" s="2" t="s">
        <v>21</v>
      </c>
      <c r="K107" s="2" t="s">
        <v>22</v>
      </c>
      <c r="L107" s="2" t="s">
        <v>459</v>
      </c>
      <c r="M107" s="2" t="s">
        <v>460</v>
      </c>
      <c r="N107" s="2" t="s">
        <v>461</v>
      </c>
      <c r="O107" s="2" t="s">
        <v>98</v>
      </c>
      <c r="P107" s="2"/>
    </row>
    <row r="108" customFormat="false" ht="35.05" hidden="false" customHeight="false" outlineLevel="0" collapsed="false">
      <c r="A108" s="2" t="n">
        <v>107</v>
      </c>
      <c r="B108" s="5" t="s">
        <v>27</v>
      </c>
      <c r="C108" s="2" t="s">
        <v>462</v>
      </c>
      <c r="D108" s="2" t="s">
        <v>394</v>
      </c>
      <c r="E108" s="2" t="s">
        <v>458</v>
      </c>
      <c r="F108" s="7" t="s">
        <v>50</v>
      </c>
      <c r="G108" s="2" t="n">
        <v>3</v>
      </c>
      <c r="H108" s="2" t="s">
        <v>375</v>
      </c>
      <c r="I108" s="2" t="n">
        <v>5</v>
      </c>
      <c r="J108" s="2" t="s">
        <v>21</v>
      </c>
      <c r="K108" s="2" t="s">
        <v>22</v>
      </c>
      <c r="L108" s="2" t="s">
        <v>463</v>
      </c>
      <c r="M108" s="2" t="s">
        <v>464</v>
      </c>
      <c r="N108" s="2" t="s">
        <v>465</v>
      </c>
      <c r="O108" s="2"/>
      <c r="P108" s="2"/>
    </row>
    <row r="109" customFormat="false" ht="23.85" hidden="false" customHeight="false" outlineLevel="0" collapsed="false">
      <c r="A109" s="2" t="n">
        <v>108</v>
      </c>
      <c r="B109" s="5" t="s">
        <v>27</v>
      </c>
      <c r="C109" s="2" t="s">
        <v>466</v>
      </c>
      <c r="D109" s="2" t="s">
        <v>18</v>
      </c>
      <c r="E109" s="2" t="s">
        <v>467</v>
      </c>
      <c r="F109" s="7" t="s">
        <v>50</v>
      </c>
      <c r="G109" s="2" t="n">
        <v>3</v>
      </c>
      <c r="H109" s="2" t="s">
        <v>375</v>
      </c>
      <c r="I109" s="2" t="n">
        <v>3</v>
      </c>
      <c r="J109" s="2" t="s">
        <v>21</v>
      </c>
      <c r="K109" s="2" t="s">
        <v>22</v>
      </c>
      <c r="L109" s="2" t="s">
        <v>468</v>
      </c>
      <c r="M109" s="2" t="s">
        <v>469</v>
      </c>
      <c r="N109" s="2" t="s">
        <v>470</v>
      </c>
      <c r="O109" s="2"/>
      <c r="P109" s="2"/>
    </row>
    <row r="110" customFormat="false" ht="35.05" hidden="false" customHeight="false" outlineLevel="0" collapsed="false">
      <c r="A110" s="2" t="n">
        <v>109</v>
      </c>
      <c r="B110" s="5" t="s">
        <v>27</v>
      </c>
      <c r="C110" s="2" t="s">
        <v>471</v>
      </c>
      <c r="D110" s="2" t="s">
        <v>18</v>
      </c>
      <c r="E110" s="2" t="s">
        <v>467</v>
      </c>
      <c r="F110" s="7" t="s">
        <v>50</v>
      </c>
      <c r="G110" s="2" t="n">
        <v>3</v>
      </c>
      <c r="H110" s="2" t="s">
        <v>375</v>
      </c>
      <c r="I110" s="2" t="n">
        <v>2</v>
      </c>
      <c r="J110" s="2" t="s">
        <v>21</v>
      </c>
      <c r="K110" s="2" t="s">
        <v>22</v>
      </c>
      <c r="L110" s="2" t="s">
        <v>472</v>
      </c>
      <c r="M110" s="2" t="s">
        <v>473</v>
      </c>
      <c r="N110" s="2" t="s">
        <v>474</v>
      </c>
      <c r="O110" s="2"/>
      <c r="P110" s="2"/>
    </row>
    <row r="111" customFormat="false" ht="23.85" hidden="false" customHeight="false" outlineLevel="0" collapsed="false">
      <c r="A111" s="2" t="n">
        <v>110</v>
      </c>
      <c r="B111" s="5" t="s">
        <v>27</v>
      </c>
      <c r="C111" s="2" t="s">
        <v>475</v>
      </c>
      <c r="D111" s="2" t="s">
        <v>241</v>
      </c>
      <c r="E111" s="2" t="s">
        <v>278</v>
      </c>
      <c r="F111" s="6" t="s">
        <v>45</v>
      </c>
      <c r="G111" s="2" t="n">
        <v>3</v>
      </c>
      <c r="H111" s="2" t="s">
        <v>375</v>
      </c>
      <c r="I111" s="2" t="n">
        <v>5</v>
      </c>
      <c r="J111" s="2" t="s">
        <v>21</v>
      </c>
      <c r="K111" s="2" t="s">
        <v>22</v>
      </c>
      <c r="L111" s="2" t="s">
        <v>476</v>
      </c>
      <c r="M111" s="2" t="s">
        <v>477</v>
      </c>
      <c r="N111" s="2" t="s">
        <v>478</v>
      </c>
      <c r="O111" s="2" t="s">
        <v>88</v>
      </c>
      <c r="P111" s="2"/>
    </row>
    <row r="112" customFormat="false" ht="23.85" hidden="false" customHeight="false" outlineLevel="0" collapsed="false">
      <c r="A112" s="2" t="n">
        <v>111</v>
      </c>
      <c r="B112" s="5" t="s">
        <v>27</v>
      </c>
      <c r="C112" s="2" t="s">
        <v>479</v>
      </c>
      <c r="D112" s="2" t="s">
        <v>241</v>
      </c>
      <c r="E112" s="2" t="s">
        <v>278</v>
      </c>
      <c r="F112" s="6" t="s">
        <v>45</v>
      </c>
      <c r="G112" s="2" t="n">
        <v>3</v>
      </c>
      <c r="H112" s="2" t="s">
        <v>375</v>
      </c>
      <c r="I112" s="2" t="n">
        <v>5</v>
      </c>
      <c r="J112" s="2" t="s">
        <v>21</v>
      </c>
      <c r="K112" s="2" t="s">
        <v>22</v>
      </c>
      <c r="L112" s="2" t="s">
        <v>480</v>
      </c>
      <c r="M112" s="2" t="s">
        <v>481</v>
      </c>
      <c r="N112" s="2" t="s">
        <v>482</v>
      </c>
      <c r="O112" s="2" t="s">
        <v>483</v>
      </c>
      <c r="P112" s="2"/>
    </row>
    <row r="113" customFormat="false" ht="23.85" hidden="false" customHeight="false" outlineLevel="0" collapsed="false">
      <c r="A113" s="10" t="n">
        <v>112</v>
      </c>
      <c r="B113" s="12" t="s">
        <v>27</v>
      </c>
      <c r="C113" s="10" t="s">
        <v>484</v>
      </c>
      <c r="D113" s="10" t="s">
        <v>139</v>
      </c>
      <c r="E113" s="10"/>
      <c r="F113" s="6" t="s">
        <v>45</v>
      </c>
      <c r="G113" s="2" t="n">
        <v>3</v>
      </c>
      <c r="H113" s="2" t="s">
        <v>375</v>
      </c>
      <c r="I113" s="2" t="n">
        <v>13</v>
      </c>
      <c r="J113" s="2" t="s">
        <v>21</v>
      </c>
      <c r="K113" s="2" t="s">
        <v>22</v>
      </c>
      <c r="L113" s="2" t="s">
        <v>485</v>
      </c>
      <c r="M113" s="2" t="s">
        <v>486</v>
      </c>
      <c r="N113" s="2"/>
      <c r="O113" s="2"/>
      <c r="P113" s="2"/>
    </row>
    <row r="114" customFormat="false" ht="35.05" hidden="false" customHeight="false" outlineLevel="0" collapsed="false">
      <c r="A114" s="2" t="n">
        <v>113</v>
      </c>
      <c r="B114" s="5" t="s">
        <v>27</v>
      </c>
      <c r="C114" s="2" t="s">
        <v>487</v>
      </c>
      <c r="D114" s="2" t="s">
        <v>18</v>
      </c>
      <c r="E114" s="2" t="s">
        <v>488</v>
      </c>
      <c r="F114" s="6" t="s">
        <v>45</v>
      </c>
      <c r="G114" s="2" t="n">
        <v>3</v>
      </c>
      <c r="H114" s="2" t="s">
        <v>375</v>
      </c>
      <c r="I114" s="2" t="n">
        <v>5</v>
      </c>
      <c r="J114" s="2" t="s">
        <v>21</v>
      </c>
      <c r="K114" s="2" t="s">
        <v>22</v>
      </c>
      <c r="L114" s="2" t="s">
        <v>489</v>
      </c>
      <c r="M114" s="2" t="s">
        <v>490</v>
      </c>
      <c r="N114" s="2" t="s">
        <v>491</v>
      </c>
      <c r="O114" s="2" t="s">
        <v>73</v>
      </c>
      <c r="P114" s="2"/>
    </row>
    <row r="115" customFormat="false" ht="35.05" hidden="false" customHeight="false" outlineLevel="0" collapsed="false">
      <c r="A115" s="2" t="n">
        <v>114</v>
      </c>
      <c r="B115" s="5" t="s">
        <v>27</v>
      </c>
      <c r="C115" s="2" t="s">
        <v>492</v>
      </c>
      <c r="D115" s="2" t="s">
        <v>18</v>
      </c>
      <c r="E115" s="2" t="s">
        <v>488</v>
      </c>
      <c r="F115" s="6" t="s">
        <v>45</v>
      </c>
      <c r="G115" s="2" t="n">
        <v>3</v>
      </c>
      <c r="H115" s="2" t="s">
        <v>375</v>
      </c>
      <c r="I115" s="2" t="n">
        <v>5</v>
      </c>
      <c r="J115" s="2" t="s">
        <v>21</v>
      </c>
      <c r="K115" s="2" t="s">
        <v>22</v>
      </c>
      <c r="L115" s="2" t="s">
        <v>493</v>
      </c>
      <c r="M115" s="2" t="s">
        <v>494</v>
      </c>
      <c r="N115" s="2" t="s">
        <v>495</v>
      </c>
      <c r="O115" s="2"/>
      <c r="P115" s="2"/>
    </row>
    <row r="116" customFormat="false" ht="23.85" hidden="false" customHeight="false" outlineLevel="0" collapsed="false">
      <c r="A116" s="10" t="n">
        <v>115</v>
      </c>
      <c r="B116" s="12" t="s">
        <v>27</v>
      </c>
      <c r="C116" s="10" t="s">
        <v>496</v>
      </c>
      <c r="D116" s="10" t="s">
        <v>139</v>
      </c>
      <c r="E116" s="10"/>
      <c r="F116" s="7" t="s">
        <v>50</v>
      </c>
      <c r="G116" s="2" t="n">
        <v>3</v>
      </c>
      <c r="H116" s="2" t="s">
        <v>375</v>
      </c>
      <c r="I116" s="2" t="n">
        <v>13</v>
      </c>
      <c r="J116" s="2" t="s">
        <v>21</v>
      </c>
      <c r="K116" s="2" t="s">
        <v>22</v>
      </c>
      <c r="L116" s="2" t="s">
        <v>497</v>
      </c>
      <c r="M116" s="2" t="s">
        <v>498</v>
      </c>
      <c r="N116" s="2"/>
      <c r="O116" s="2"/>
      <c r="P116" s="2"/>
    </row>
    <row r="117" customFormat="false" ht="35.05" hidden="false" customHeight="false" outlineLevel="0" collapsed="false">
      <c r="A117" s="2" t="n">
        <v>116</v>
      </c>
      <c r="B117" s="5" t="s">
        <v>27</v>
      </c>
      <c r="C117" s="2" t="s">
        <v>499</v>
      </c>
      <c r="D117" s="2" t="s">
        <v>18</v>
      </c>
      <c r="E117" s="2" t="s">
        <v>500</v>
      </c>
      <c r="F117" s="7" t="s">
        <v>50</v>
      </c>
      <c r="G117" s="2" t="n">
        <v>3</v>
      </c>
      <c r="H117" s="2" t="s">
        <v>375</v>
      </c>
      <c r="I117" s="2" t="n">
        <v>5</v>
      </c>
      <c r="J117" s="2" t="s">
        <v>21</v>
      </c>
      <c r="K117" s="2" t="s">
        <v>22</v>
      </c>
      <c r="L117" s="2" t="s">
        <v>501</v>
      </c>
      <c r="M117" s="2" t="s">
        <v>502</v>
      </c>
      <c r="N117" s="2" t="s">
        <v>503</v>
      </c>
      <c r="O117" s="2" t="s">
        <v>108</v>
      </c>
      <c r="P117" s="2"/>
    </row>
    <row r="118" customFormat="false" ht="35.05" hidden="false" customHeight="false" outlineLevel="0" collapsed="false">
      <c r="A118" s="2" t="n">
        <v>117</v>
      </c>
      <c r="B118" s="5" t="s">
        <v>27</v>
      </c>
      <c r="C118" s="2" t="s">
        <v>504</v>
      </c>
      <c r="D118" s="2" t="s">
        <v>18</v>
      </c>
      <c r="E118" s="2" t="s">
        <v>500</v>
      </c>
      <c r="F118" s="7" t="s">
        <v>50</v>
      </c>
      <c r="G118" s="2" t="n">
        <v>3</v>
      </c>
      <c r="H118" s="2" t="s">
        <v>375</v>
      </c>
      <c r="I118" s="2" t="n">
        <v>5</v>
      </c>
      <c r="J118" s="2" t="s">
        <v>21</v>
      </c>
      <c r="K118" s="2" t="s">
        <v>22</v>
      </c>
      <c r="L118" s="2" t="s">
        <v>505</v>
      </c>
      <c r="M118" s="2" t="s">
        <v>506</v>
      </c>
      <c r="N118" s="2" t="s">
        <v>507</v>
      </c>
      <c r="O118" s="2"/>
      <c r="P118" s="2"/>
    </row>
    <row r="119" customFormat="false" ht="23.85" hidden="false" customHeight="false" outlineLevel="0" collapsed="false">
      <c r="A119" s="2" t="n">
        <v>118</v>
      </c>
      <c r="B119" s="5" t="s">
        <v>27</v>
      </c>
      <c r="C119" s="2" t="s">
        <v>508</v>
      </c>
      <c r="D119" s="2" t="s">
        <v>18</v>
      </c>
      <c r="E119" s="2"/>
      <c r="F119" s="4" t="s">
        <v>19</v>
      </c>
      <c r="G119" s="2" t="n">
        <v>3</v>
      </c>
      <c r="H119" s="2" t="s">
        <v>375</v>
      </c>
      <c r="I119" s="2" t="n">
        <v>1</v>
      </c>
      <c r="J119" s="2" t="s">
        <v>172</v>
      </c>
      <c r="K119" s="2" t="s">
        <v>22</v>
      </c>
      <c r="L119" s="2" t="s">
        <v>509</v>
      </c>
      <c r="M119" s="2" t="s">
        <v>510</v>
      </c>
      <c r="N119" s="2" t="s">
        <v>511</v>
      </c>
      <c r="O119" s="2"/>
      <c r="P119" s="2"/>
    </row>
    <row r="120" customFormat="false" ht="35.05" hidden="false" customHeight="false" outlineLevel="0" collapsed="false">
      <c r="A120" s="2" t="n">
        <v>119</v>
      </c>
      <c r="B120" s="5" t="s">
        <v>27</v>
      </c>
      <c r="C120" s="2" t="s">
        <v>512</v>
      </c>
      <c r="D120" s="2" t="s">
        <v>18</v>
      </c>
      <c r="E120" s="2" t="s">
        <v>144</v>
      </c>
      <c r="F120" s="6" t="s">
        <v>45</v>
      </c>
      <c r="G120" s="2" t="n">
        <v>3</v>
      </c>
      <c r="H120" s="2" t="s">
        <v>375</v>
      </c>
      <c r="I120" s="2" t="n">
        <v>3</v>
      </c>
      <c r="J120" s="2" t="s">
        <v>172</v>
      </c>
      <c r="K120" s="2" t="s">
        <v>22</v>
      </c>
      <c r="L120" s="2" t="s">
        <v>513</v>
      </c>
      <c r="M120" s="2" t="s">
        <v>514</v>
      </c>
      <c r="N120" s="2" t="s">
        <v>515</v>
      </c>
      <c r="O120" s="2"/>
      <c r="P120" s="2"/>
    </row>
    <row r="121" customFormat="false" ht="23.85" hidden="false" customHeight="false" outlineLevel="0" collapsed="false">
      <c r="A121" s="2" t="n">
        <v>120</v>
      </c>
      <c r="B121" s="5" t="s">
        <v>27</v>
      </c>
      <c r="C121" s="2" t="s">
        <v>516</v>
      </c>
      <c r="D121" s="2" t="s">
        <v>394</v>
      </c>
      <c r="E121" s="2" t="s">
        <v>220</v>
      </c>
      <c r="F121" s="9" t="s">
        <v>134</v>
      </c>
      <c r="G121" s="2" t="n">
        <v>3</v>
      </c>
      <c r="H121" s="2" t="s">
        <v>375</v>
      </c>
      <c r="I121" s="2" t="n">
        <v>3</v>
      </c>
      <c r="J121" s="2" t="s">
        <v>172</v>
      </c>
      <c r="K121" s="2" t="s">
        <v>22</v>
      </c>
      <c r="L121" s="2" t="s">
        <v>517</v>
      </c>
      <c r="M121" s="2" t="s">
        <v>518</v>
      </c>
      <c r="N121" s="2" t="s">
        <v>519</v>
      </c>
      <c r="O121" s="2" t="s">
        <v>520</v>
      </c>
      <c r="P121" s="2"/>
    </row>
    <row r="122" customFormat="false" ht="23.85" hidden="false" customHeight="false" outlineLevel="0" collapsed="false">
      <c r="A122" s="2" t="n">
        <v>121</v>
      </c>
      <c r="B122" s="5" t="s">
        <v>27</v>
      </c>
      <c r="C122" s="2" t="s">
        <v>521</v>
      </c>
      <c r="D122" s="2" t="s">
        <v>394</v>
      </c>
      <c r="E122" s="2" t="s">
        <v>220</v>
      </c>
      <c r="F122" s="9" t="s">
        <v>134</v>
      </c>
      <c r="G122" s="2" t="n">
        <v>3</v>
      </c>
      <c r="H122" s="2" t="s">
        <v>375</v>
      </c>
      <c r="I122" s="2" t="n">
        <v>3</v>
      </c>
      <c r="J122" s="2" t="s">
        <v>172</v>
      </c>
      <c r="K122" s="2" t="s">
        <v>22</v>
      </c>
      <c r="L122" s="2" t="s">
        <v>522</v>
      </c>
      <c r="M122" s="2" t="s">
        <v>523</v>
      </c>
      <c r="N122" s="2" t="s">
        <v>524</v>
      </c>
      <c r="O122" s="2" t="s">
        <v>525</v>
      </c>
      <c r="P122" s="2"/>
    </row>
    <row r="123" customFormat="false" ht="23.85" hidden="false" customHeight="false" outlineLevel="0" collapsed="false">
      <c r="A123" s="2" t="n">
        <v>122</v>
      </c>
      <c r="B123" s="5" t="s">
        <v>27</v>
      </c>
      <c r="C123" s="2" t="s">
        <v>526</v>
      </c>
      <c r="D123" s="2" t="s">
        <v>394</v>
      </c>
      <c r="E123" s="2" t="s">
        <v>220</v>
      </c>
      <c r="F123" s="9" t="s">
        <v>134</v>
      </c>
      <c r="G123" s="2" t="n">
        <v>3</v>
      </c>
      <c r="H123" s="2" t="s">
        <v>375</v>
      </c>
      <c r="I123" s="2" t="n">
        <v>3</v>
      </c>
      <c r="J123" s="2" t="s">
        <v>172</v>
      </c>
      <c r="K123" s="2" t="s">
        <v>22</v>
      </c>
      <c r="L123" s="2" t="s">
        <v>527</v>
      </c>
      <c r="M123" s="2" t="s">
        <v>528</v>
      </c>
      <c r="N123" s="2" t="s">
        <v>529</v>
      </c>
      <c r="O123" s="2" t="s">
        <v>525</v>
      </c>
      <c r="P123" s="2"/>
    </row>
    <row r="124" customFormat="false" ht="23.85" hidden="false" customHeight="false" outlineLevel="0" collapsed="false">
      <c r="A124" s="2" t="n">
        <v>123</v>
      </c>
      <c r="B124" s="5" t="s">
        <v>27</v>
      </c>
      <c r="C124" s="2" t="s">
        <v>530</v>
      </c>
      <c r="D124" s="2" t="s">
        <v>394</v>
      </c>
      <c r="E124" s="2" t="s">
        <v>220</v>
      </c>
      <c r="F124" s="9" t="s">
        <v>134</v>
      </c>
      <c r="G124" s="2" t="n">
        <v>3</v>
      </c>
      <c r="H124" s="2" t="s">
        <v>375</v>
      </c>
      <c r="I124" s="2" t="n">
        <v>2</v>
      </c>
      <c r="J124" s="2" t="s">
        <v>172</v>
      </c>
      <c r="K124" s="2" t="s">
        <v>22</v>
      </c>
      <c r="L124" s="2" t="s">
        <v>531</v>
      </c>
      <c r="M124" s="2" t="s">
        <v>532</v>
      </c>
      <c r="N124" s="2" t="s">
        <v>533</v>
      </c>
      <c r="O124" s="2" t="s">
        <v>525</v>
      </c>
      <c r="P124" s="2"/>
    </row>
    <row r="125" customFormat="false" ht="23.85" hidden="false" customHeight="false" outlineLevel="0" collapsed="false">
      <c r="A125" s="2" t="n">
        <v>124</v>
      </c>
      <c r="B125" s="5" t="s">
        <v>27</v>
      </c>
      <c r="C125" s="2" t="s">
        <v>534</v>
      </c>
      <c r="D125" s="2" t="s">
        <v>394</v>
      </c>
      <c r="E125" s="2" t="s">
        <v>220</v>
      </c>
      <c r="F125" s="9" t="s">
        <v>134</v>
      </c>
      <c r="G125" s="2" t="n">
        <v>3</v>
      </c>
      <c r="H125" s="2" t="s">
        <v>375</v>
      </c>
      <c r="I125" s="2" t="n">
        <v>5</v>
      </c>
      <c r="J125" s="2" t="s">
        <v>172</v>
      </c>
      <c r="K125" s="2" t="s">
        <v>22</v>
      </c>
      <c r="L125" s="2" t="s">
        <v>535</v>
      </c>
      <c r="M125" s="2" t="s">
        <v>536</v>
      </c>
      <c r="N125" s="2" t="s">
        <v>537</v>
      </c>
      <c r="O125" s="2" t="s">
        <v>538</v>
      </c>
      <c r="P125" s="2"/>
    </row>
    <row r="126" customFormat="false" ht="23.85" hidden="false" customHeight="false" outlineLevel="0" collapsed="false">
      <c r="A126" s="2" t="n">
        <v>125</v>
      </c>
      <c r="B126" s="5" t="s">
        <v>27</v>
      </c>
      <c r="C126" s="2" t="s">
        <v>539</v>
      </c>
      <c r="D126" s="2" t="s">
        <v>394</v>
      </c>
      <c r="E126" s="2" t="s">
        <v>325</v>
      </c>
      <c r="F126" s="9" t="s">
        <v>134</v>
      </c>
      <c r="G126" s="2" t="n">
        <v>3</v>
      </c>
      <c r="H126" s="2" t="s">
        <v>375</v>
      </c>
      <c r="I126" s="2" t="n">
        <v>3</v>
      </c>
      <c r="J126" s="2" t="s">
        <v>172</v>
      </c>
      <c r="K126" s="2" t="s">
        <v>22</v>
      </c>
      <c r="L126" s="2" t="s">
        <v>540</v>
      </c>
      <c r="M126" s="2" t="s">
        <v>541</v>
      </c>
      <c r="N126" s="2" t="s">
        <v>542</v>
      </c>
      <c r="O126" s="2" t="s">
        <v>543</v>
      </c>
      <c r="P126" s="2"/>
    </row>
    <row r="127" customFormat="false" ht="35.05" hidden="false" customHeight="false" outlineLevel="0" collapsed="false">
      <c r="A127" s="2" t="n">
        <v>126</v>
      </c>
      <c r="B127" s="5" t="s">
        <v>27</v>
      </c>
      <c r="C127" s="2" t="s">
        <v>544</v>
      </c>
      <c r="D127" s="2" t="s">
        <v>18</v>
      </c>
      <c r="E127" s="2" t="s">
        <v>242</v>
      </c>
      <c r="F127" s="7" t="s">
        <v>50</v>
      </c>
      <c r="G127" s="2" t="n">
        <v>3</v>
      </c>
      <c r="H127" s="2" t="s">
        <v>375</v>
      </c>
      <c r="I127" s="2" t="n">
        <v>5</v>
      </c>
      <c r="J127" s="2" t="s">
        <v>172</v>
      </c>
      <c r="K127" s="2" t="s">
        <v>22</v>
      </c>
      <c r="L127" s="2" t="s">
        <v>545</v>
      </c>
      <c r="M127" s="2" t="s">
        <v>546</v>
      </c>
      <c r="N127" s="2" t="s">
        <v>547</v>
      </c>
      <c r="O127" s="2"/>
      <c r="P127" s="2"/>
    </row>
    <row r="128" customFormat="false" ht="23.85" hidden="false" customHeight="false" outlineLevel="0" collapsed="false">
      <c r="A128" s="2" t="n">
        <v>127</v>
      </c>
      <c r="B128" s="5" t="s">
        <v>27</v>
      </c>
      <c r="C128" s="2" t="s">
        <v>548</v>
      </c>
      <c r="D128" s="2" t="s">
        <v>18</v>
      </c>
      <c r="E128" s="2" t="s">
        <v>163</v>
      </c>
      <c r="F128" s="7" t="s">
        <v>50</v>
      </c>
      <c r="G128" s="2" t="n">
        <v>3</v>
      </c>
      <c r="H128" s="2" t="s">
        <v>375</v>
      </c>
      <c r="I128" s="2" t="n">
        <v>3</v>
      </c>
      <c r="J128" s="2" t="s">
        <v>172</v>
      </c>
      <c r="K128" s="2" t="s">
        <v>22</v>
      </c>
      <c r="L128" s="2" t="s">
        <v>549</v>
      </c>
      <c r="M128" s="2" t="s">
        <v>550</v>
      </c>
      <c r="N128" s="2" t="s">
        <v>551</v>
      </c>
      <c r="O128" s="2"/>
      <c r="P128" s="2"/>
    </row>
    <row r="129" customFormat="false" ht="35.05" hidden="false" customHeight="false" outlineLevel="0" collapsed="false">
      <c r="A129" s="2" t="n">
        <v>128</v>
      </c>
      <c r="B129" s="5" t="s">
        <v>27</v>
      </c>
      <c r="C129" s="2" t="s">
        <v>552</v>
      </c>
      <c r="D129" s="2" t="s">
        <v>18</v>
      </c>
      <c r="E129" s="2" t="s">
        <v>278</v>
      </c>
      <c r="F129" s="6" t="s">
        <v>45</v>
      </c>
      <c r="G129" s="2" t="n">
        <v>3</v>
      </c>
      <c r="H129" s="2" t="s">
        <v>375</v>
      </c>
      <c r="I129" s="2" t="n">
        <v>5</v>
      </c>
      <c r="J129" s="2" t="s">
        <v>172</v>
      </c>
      <c r="K129" s="2" t="s">
        <v>22</v>
      </c>
      <c r="L129" s="2" t="s">
        <v>553</v>
      </c>
      <c r="M129" s="2" t="s">
        <v>554</v>
      </c>
      <c r="N129" s="2" t="s">
        <v>555</v>
      </c>
      <c r="O129" s="2"/>
      <c r="P129" s="2"/>
    </row>
    <row r="130" customFormat="false" ht="23.85" hidden="false" customHeight="false" outlineLevel="0" collapsed="false">
      <c r="A130" s="2" t="n">
        <v>129</v>
      </c>
      <c r="B130" s="5" t="s">
        <v>27</v>
      </c>
      <c r="C130" s="2" t="s">
        <v>556</v>
      </c>
      <c r="D130" s="2" t="s">
        <v>18</v>
      </c>
      <c r="E130" s="2"/>
      <c r="F130" s="9" t="s">
        <v>134</v>
      </c>
      <c r="G130" s="2" t="n">
        <v>3</v>
      </c>
      <c r="H130" s="2" t="s">
        <v>375</v>
      </c>
      <c r="I130" s="2" t="n">
        <v>5</v>
      </c>
      <c r="J130" s="2" t="s">
        <v>172</v>
      </c>
      <c r="K130" s="2" t="s">
        <v>22</v>
      </c>
      <c r="L130" s="2" t="s">
        <v>557</v>
      </c>
      <c r="M130" s="2" t="s">
        <v>558</v>
      </c>
      <c r="N130" s="2" t="s">
        <v>559</v>
      </c>
      <c r="O130" s="2"/>
      <c r="P130" s="2"/>
    </row>
    <row r="131" customFormat="false" ht="35.05" hidden="false" customHeight="false" outlineLevel="0" collapsed="false">
      <c r="A131" s="2" t="n">
        <v>130</v>
      </c>
      <c r="B131" s="5" t="s">
        <v>27</v>
      </c>
      <c r="C131" s="2" t="s">
        <v>560</v>
      </c>
      <c r="D131" s="2" t="s">
        <v>18</v>
      </c>
      <c r="E131" s="2" t="s">
        <v>220</v>
      </c>
      <c r="F131" s="9" t="s">
        <v>134</v>
      </c>
      <c r="G131" s="2" t="n">
        <v>3</v>
      </c>
      <c r="H131" s="2" t="s">
        <v>375</v>
      </c>
      <c r="I131" s="2" t="n">
        <v>3</v>
      </c>
      <c r="J131" s="2" t="s">
        <v>561</v>
      </c>
      <c r="K131" s="2" t="s">
        <v>22</v>
      </c>
      <c r="L131" s="2" t="s">
        <v>562</v>
      </c>
      <c r="M131" s="2" t="s">
        <v>563</v>
      </c>
      <c r="N131" s="2" t="s">
        <v>564</v>
      </c>
      <c r="O131" s="2"/>
      <c r="P131" s="2"/>
    </row>
    <row r="132" customFormat="false" ht="23.85" hidden="false" customHeight="false" outlineLevel="0" collapsed="false">
      <c r="A132" s="2" t="n">
        <v>131</v>
      </c>
      <c r="B132" s="5" t="s">
        <v>27</v>
      </c>
      <c r="C132" s="2" t="s">
        <v>565</v>
      </c>
      <c r="D132" s="2" t="s">
        <v>18</v>
      </c>
      <c r="E132" s="2"/>
      <c r="F132" s="4" t="s">
        <v>19</v>
      </c>
      <c r="G132" s="2" t="n">
        <v>4</v>
      </c>
      <c r="H132" s="2" t="s">
        <v>566</v>
      </c>
      <c r="I132" s="2" t="n">
        <v>5</v>
      </c>
      <c r="J132" s="2" t="s">
        <v>21</v>
      </c>
      <c r="K132" s="2" t="s">
        <v>22</v>
      </c>
      <c r="L132" s="2" t="s">
        <v>567</v>
      </c>
      <c r="M132" s="2" t="s">
        <v>568</v>
      </c>
      <c r="N132" s="2" t="s">
        <v>569</v>
      </c>
      <c r="O132" s="2"/>
      <c r="P132" s="2"/>
    </row>
    <row r="133" customFormat="false" ht="35.05" hidden="false" customHeight="false" outlineLevel="0" collapsed="false">
      <c r="A133" s="2" t="n">
        <v>132</v>
      </c>
      <c r="B133" s="5" t="s">
        <v>27</v>
      </c>
      <c r="C133" s="2" t="s">
        <v>570</v>
      </c>
      <c r="D133" s="2" t="s">
        <v>18</v>
      </c>
      <c r="E133" s="2"/>
      <c r="F133" s="4" t="s">
        <v>19</v>
      </c>
      <c r="G133" s="2" t="n">
        <v>4</v>
      </c>
      <c r="H133" s="2" t="s">
        <v>566</v>
      </c>
      <c r="I133" s="2" t="n">
        <v>1</v>
      </c>
      <c r="J133" s="2" t="s">
        <v>21</v>
      </c>
      <c r="K133" s="2" t="s">
        <v>22</v>
      </c>
      <c r="L133" s="2" t="s">
        <v>571</v>
      </c>
      <c r="M133" s="2" t="s">
        <v>572</v>
      </c>
      <c r="N133" s="2" t="s">
        <v>573</v>
      </c>
      <c r="O133" s="2"/>
      <c r="P133" s="2"/>
    </row>
    <row r="134" customFormat="false" ht="15" hidden="false" customHeight="false" outlineLevel="0" collapsed="false">
      <c r="A134" s="10" t="n">
        <v>133</v>
      </c>
      <c r="B134" s="11" t="s">
        <v>54</v>
      </c>
      <c r="C134" s="10" t="s">
        <v>574</v>
      </c>
      <c r="D134" s="10" t="s">
        <v>139</v>
      </c>
      <c r="E134" s="10"/>
      <c r="F134" s="6" t="s">
        <v>45</v>
      </c>
      <c r="G134" s="2" t="n">
        <v>4</v>
      </c>
      <c r="H134" s="2" t="s">
        <v>566</v>
      </c>
      <c r="I134" s="2" t="n">
        <v>3</v>
      </c>
      <c r="J134" s="2" t="s">
        <v>21</v>
      </c>
      <c r="K134" s="2" t="s">
        <v>22</v>
      </c>
      <c r="L134" s="2" t="s">
        <v>575</v>
      </c>
      <c r="M134" s="2" t="s">
        <v>576</v>
      </c>
      <c r="N134" s="2"/>
      <c r="O134" s="2"/>
      <c r="P134" s="2" t="s">
        <v>577</v>
      </c>
    </row>
    <row r="135" customFormat="false" ht="35.05" hidden="false" customHeight="false" outlineLevel="0" collapsed="false">
      <c r="A135" s="2" t="n">
        <v>134</v>
      </c>
      <c r="B135" s="8" t="s">
        <v>54</v>
      </c>
      <c r="C135" s="2" t="s">
        <v>578</v>
      </c>
      <c r="D135" s="2" t="s">
        <v>18</v>
      </c>
      <c r="E135" s="2" t="s">
        <v>411</v>
      </c>
      <c r="F135" s="9" t="s">
        <v>134</v>
      </c>
      <c r="G135" s="2" t="n">
        <v>4</v>
      </c>
      <c r="H135" s="2" t="s">
        <v>566</v>
      </c>
      <c r="I135" s="2" t="n">
        <v>3</v>
      </c>
      <c r="J135" s="2" t="s">
        <v>21</v>
      </c>
      <c r="K135" s="2" t="s">
        <v>22</v>
      </c>
      <c r="L135" s="2" t="s">
        <v>579</v>
      </c>
      <c r="M135" s="2" t="s">
        <v>580</v>
      </c>
      <c r="N135" s="2" t="s">
        <v>581</v>
      </c>
      <c r="O135" s="2"/>
      <c r="P135" s="2" t="s">
        <v>582</v>
      </c>
    </row>
    <row r="136" customFormat="false" ht="23.85" hidden="false" customHeight="false" outlineLevel="0" collapsed="false">
      <c r="A136" s="2" t="n">
        <v>135</v>
      </c>
      <c r="B136" s="8" t="s">
        <v>54</v>
      </c>
      <c r="C136" s="2" t="s">
        <v>583</v>
      </c>
      <c r="D136" s="2" t="s">
        <v>18</v>
      </c>
      <c r="E136" s="2" t="s">
        <v>411</v>
      </c>
      <c r="F136" s="9" t="s">
        <v>134</v>
      </c>
      <c r="G136" s="2" t="n">
        <v>4</v>
      </c>
      <c r="H136" s="2" t="s">
        <v>566</v>
      </c>
      <c r="I136" s="2" t="n">
        <v>5</v>
      </c>
      <c r="J136" s="2" t="s">
        <v>21</v>
      </c>
      <c r="K136" s="2" t="s">
        <v>22</v>
      </c>
      <c r="L136" s="2" t="s">
        <v>584</v>
      </c>
      <c r="M136" s="2" t="s">
        <v>585</v>
      </c>
      <c r="N136" s="2" t="s">
        <v>586</v>
      </c>
      <c r="O136" s="2"/>
      <c r="P136" s="2" t="s">
        <v>587</v>
      </c>
    </row>
    <row r="137" customFormat="false" ht="35.05" hidden="false" customHeight="false" outlineLevel="0" collapsed="false">
      <c r="A137" s="2" t="n">
        <v>136</v>
      </c>
      <c r="B137" s="5" t="s">
        <v>27</v>
      </c>
      <c r="C137" s="2" t="s">
        <v>588</v>
      </c>
      <c r="D137" s="2" t="s">
        <v>18</v>
      </c>
      <c r="E137" s="2" t="s">
        <v>411</v>
      </c>
      <c r="F137" s="6" t="s">
        <v>45</v>
      </c>
      <c r="G137" s="2" t="n">
        <v>4</v>
      </c>
      <c r="H137" s="2" t="s">
        <v>566</v>
      </c>
      <c r="I137" s="2" t="n">
        <v>3</v>
      </c>
      <c r="J137" s="2" t="s">
        <v>21</v>
      </c>
      <c r="K137" s="2" t="s">
        <v>22</v>
      </c>
      <c r="L137" s="2" t="s">
        <v>589</v>
      </c>
      <c r="M137" s="2" t="s">
        <v>590</v>
      </c>
      <c r="N137" s="2" t="s">
        <v>591</v>
      </c>
      <c r="O137" s="2"/>
      <c r="P137" s="2"/>
    </row>
    <row r="138" customFormat="false" ht="23.85" hidden="false" customHeight="false" outlineLevel="0" collapsed="false">
      <c r="A138" s="2" t="n">
        <v>137</v>
      </c>
      <c r="B138" s="5" t="s">
        <v>27</v>
      </c>
      <c r="C138" s="2" t="s">
        <v>592</v>
      </c>
      <c r="D138" s="2" t="s">
        <v>18</v>
      </c>
      <c r="E138" s="2" t="s">
        <v>411</v>
      </c>
      <c r="F138" s="9" t="s">
        <v>134</v>
      </c>
      <c r="G138" s="2" t="n">
        <v>4</v>
      </c>
      <c r="H138" s="2" t="s">
        <v>566</v>
      </c>
      <c r="I138" s="2" t="n">
        <v>5</v>
      </c>
      <c r="J138" s="2" t="s">
        <v>21</v>
      </c>
      <c r="K138" s="2" t="s">
        <v>22</v>
      </c>
      <c r="L138" s="2" t="s">
        <v>593</v>
      </c>
      <c r="M138" s="2" t="s">
        <v>594</v>
      </c>
      <c r="N138" s="2" t="s">
        <v>595</v>
      </c>
      <c r="O138" s="2" t="s">
        <v>440</v>
      </c>
      <c r="P138" s="2"/>
    </row>
    <row r="139" customFormat="false" ht="15" hidden="false" customHeight="false" outlineLevel="0" collapsed="false">
      <c r="A139" s="10" t="n">
        <v>138</v>
      </c>
      <c r="B139" s="12" t="s">
        <v>27</v>
      </c>
      <c r="C139" s="10" t="s">
        <v>596</v>
      </c>
      <c r="D139" s="10" t="s">
        <v>139</v>
      </c>
      <c r="E139" s="10"/>
      <c r="F139" s="7" t="s">
        <v>50</v>
      </c>
      <c r="G139" s="2" t="n">
        <v>4</v>
      </c>
      <c r="H139" s="2" t="s">
        <v>566</v>
      </c>
      <c r="I139" s="2" t="n">
        <v>3</v>
      </c>
      <c r="J139" s="2" t="s">
        <v>21</v>
      </c>
      <c r="K139" s="2" t="s">
        <v>22</v>
      </c>
      <c r="L139" s="2" t="s">
        <v>597</v>
      </c>
      <c r="M139" s="2" t="s">
        <v>576</v>
      </c>
      <c r="N139" s="2"/>
      <c r="O139" s="2"/>
      <c r="P139" s="2"/>
    </row>
    <row r="140" customFormat="false" ht="35.05" hidden="false" customHeight="false" outlineLevel="0" collapsed="false">
      <c r="A140" s="2" t="n">
        <v>139</v>
      </c>
      <c r="B140" s="5" t="s">
        <v>27</v>
      </c>
      <c r="C140" s="2" t="s">
        <v>598</v>
      </c>
      <c r="D140" s="2" t="s">
        <v>18</v>
      </c>
      <c r="E140" s="2" t="s">
        <v>467</v>
      </c>
      <c r="F140" s="7" t="s">
        <v>50</v>
      </c>
      <c r="G140" s="2" t="n">
        <v>4</v>
      </c>
      <c r="H140" s="2" t="s">
        <v>566</v>
      </c>
      <c r="I140" s="2" t="n">
        <v>3</v>
      </c>
      <c r="J140" s="2" t="s">
        <v>21</v>
      </c>
      <c r="K140" s="2" t="s">
        <v>22</v>
      </c>
      <c r="L140" s="2" t="s">
        <v>599</v>
      </c>
      <c r="M140" s="2" t="s">
        <v>590</v>
      </c>
      <c r="N140" s="2" t="s">
        <v>600</v>
      </c>
      <c r="O140" s="2"/>
      <c r="P140" s="2"/>
    </row>
    <row r="141" customFormat="false" ht="35.05" hidden="false" customHeight="false" outlineLevel="0" collapsed="false">
      <c r="A141" s="2" t="n">
        <v>140</v>
      </c>
      <c r="B141" s="3" t="s">
        <v>16</v>
      </c>
      <c r="C141" s="2" t="s">
        <v>601</v>
      </c>
      <c r="D141" s="2" t="s">
        <v>18</v>
      </c>
      <c r="E141" s="2" t="s">
        <v>488</v>
      </c>
      <c r="F141" s="6" t="s">
        <v>45</v>
      </c>
      <c r="G141" s="2" t="n">
        <v>4</v>
      </c>
      <c r="H141" s="2" t="s">
        <v>566</v>
      </c>
      <c r="I141" s="2" t="n">
        <v>8</v>
      </c>
      <c r="J141" s="2" t="s">
        <v>21</v>
      </c>
      <c r="K141" s="2" t="s">
        <v>22</v>
      </c>
      <c r="L141" s="2" t="s">
        <v>602</v>
      </c>
      <c r="M141" s="2" t="s">
        <v>603</v>
      </c>
      <c r="N141" s="2" t="s">
        <v>604</v>
      </c>
      <c r="O141" s="2" t="s">
        <v>483</v>
      </c>
      <c r="P141" s="2" t="s">
        <v>605</v>
      </c>
    </row>
    <row r="142" customFormat="false" ht="35.05" hidden="false" customHeight="false" outlineLevel="0" collapsed="false">
      <c r="A142" s="2" t="n">
        <v>141</v>
      </c>
      <c r="B142" s="5" t="s">
        <v>27</v>
      </c>
      <c r="C142" s="2" t="s">
        <v>606</v>
      </c>
      <c r="D142" s="2" t="s">
        <v>18</v>
      </c>
      <c r="E142" s="2" t="s">
        <v>500</v>
      </c>
      <c r="F142" s="7" t="s">
        <v>50</v>
      </c>
      <c r="G142" s="2" t="n">
        <v>4</v>
      </c>
      <c r="H142" s="2" t="s">
        <v>566</v>
      </c>
      <c r="I142" s="2" t="n">
        <v>8</v>
      </c>
      <c r="J142" s="2" t="s">
        <v>21</v>
      </c>
      <c r="K142" s="2" t="s">
        <v>22</v>
      </c>
      <c r="L142" s="2" t="s">
        <v>607</v>
      </c>
      <c r="M142" s="2" t="s">
        <v>608</v>
      </c>
      <c r="N142" s="2" t="s">
        <v>609</v>
      </c>
      <c r="O142" s="2"/>
      <c r="P142" s="2"/>
    </row>
    <row r="143" customFormat="false" ht="23.85" hidden="false" customHeight="false" outlineLevel="0" collapsed="false">
      <c r="A143" s="2" t="n">
        <v>142</v>
      </c>
      <c r="B143" s="5" t="s">
        <v>27</v>
      </c>
      <c r="C143" s="2" t="s">
        <v>610</v>
      </c>
      <c r="D143" s="2" t="s">
        <v>18</v>
      </c>
      <c r="E143" s="2"/>
      <c r="F143" s="4" t="s">
        <v>19</v>
      </c>
      <c r="G143" s="2" t="n">
        <v>4</v>
      </c>
      <c r="H143" s="2" t="s">
        <v>566</v>
      </c>
      <c r="I143" s="2" t="n">
        <v>5</v>
      </c>
      <c r="J143" s="2" t="s">
        <v>172</v>
      </c>
      <c r="K143" s="2" t="s">
        <v>22</v>
      </c>
      <c r="L143" s="2" t="s">
        <v>611</v>
      </c>
      <c r="M143" s="2" t="s">
        <v>612</v>
      </c>
      <c r="N143" s="2" t="s">
        <v>613</v>
      </c>
      <c r="O143" s="2"/>
      <c r="P143" s="2"/>
    </row>
    <row r="144" customFormat="false" ht="35.05" hidden="false" customHeight="false" outlineLevel="0" collapsed="false">
      <c r="A144" s="2" t="n">
        <v>143</v>
      </c>
      <c r="B144" s="5" t="s">
        <v>27</v>
      </c>
      <c r="C144" s="2" t="s">
        <v>614</v>
      </c>
      <c r="D144" s="2" t="s">
        <v>18</v>
      </c>
      <c r="E144" s="2"/>
      <c r="F144" s="4" t="s">
        <v>19</v>
      </c>
      <c r="G144" s="2" t="n">
        <v>4</v>
      </c>
      <c r="H144" s="2" t="s">
        <v>566</v>
      </c>
      <c r="I144" s="2" t="n">
        <v>3</v>
      </c>
      <c r="J144" s="2" t="s">
        <v>172</v>
      </c>
      <c r="K144" s="2" t="s">
        <v>22</v>
      </c>
      <c r="L144" s="2" t="s">
        <v>615</v>
      </c>
      <c r="M144" s="2" t="s">
        <v>616</v>
      </c>
      <c r="N144" s="2" t="s">
        <v>617</v>
      </c>
      <c r="O144" s="2"/>
      <c r="P144" s="2"/>
    </row>
    <row r="145" customFormat="false" ht="23.85" hidden="false" customHeight="false" outlineLevel="0" collapsed="false">
      <c r="A145" s="2" t="n">
        <v>144</v>
      </c>
      <c r="B145" s="5" t="s">
        <v>27</v>
      </c>
      <c r="C145" s="2" t="s">
        <v>618</v>
      </c>
      <c r="D145" s="2" t="s">
        <v>18</v>
      </c>
      <c r="E145" s="2"/>
      <c r="F145" s="4" t="s">
        <v>19</v>
      </c>
      <c r="G145" s="2" t="n">
        <v>4</v>
      </c>
      <c r="H145" s="2" t="s">
        <v>566</v>
      </c>
      <c r="I145" s="2" t="n">
        <v>2</v>
      </c>
      <c r="J145" s="2" t="s">
        <v>172</v>
      </c>
      <c r="K145" s="2" t="s">
        <v>22</v>
      </c>
      <c r="L145" s="2" t="s">
        <v>619</v>
      </c>
      <c r="M145" s="2" t="s">
        <v>620</v>
      </c>
      <c r="N145" s="2" t="s">
        <v>621</v>
      </c>
      <c r="O145" s="2"/>
      <c r="P145" s="2"/>
    </row>
    <row r="146" customFormat="false" ht="23.85" hidden="false" customHeight="false" outlineLevel="0" collapsed="false">
      <c r="A146" s="2" t="n">
        <v>145</v>
      </c>
      <c r="B146" s="5" t="s">
        <v>27</v>
      </c>
      <c r="C146" s="2" t="s">
        <v>622</v>
      </c>
      <c r="D146" s="2" t="s">
        <v>18</v>
      </c>
      <c r="E146" s="2" t="s">
        <v>411</v>
      </c>
      <c r="F146" s="6" t="s">
        <v>45</v>
      </c>
      <c r="G146" s="2" t="n">
        <v>4</v>
      </c>
      <c r="H146" s="2" t="s">
        <v>566</v>
      </c>
      <c r="I146" s="2" t="n">
        <v>3</v>
      </c>
      <c r="J146" s="2" t="s">
        <v>172</v>
      </c>
      <c r="K146" s="2" t="s">
        <v>22</v>
      </c>
      <c r="L146" s="2" t="s">
        <v>623</v>
      </c>
      <c r="M146" s="2" t="s">
        <v>624</v>
      </c>
      <c r="N146" s="2" t="s">
        <v>625</v>
      </c>
      <c r="O146" s="2"/>
      <c r="P146" s="2"/>
    </row>
    <row r="147" customFormat="false" ht="23.85" hidden="false" customHeight="false" outlineLevel="0" collapsed="false">
      <c r="A147" s="2" t="n">
        <v>146</v>
      </c>
      <c r="B147" s="5" t="s">
        <v>27</v>
      </c>
      <c r="C147" s="2" t="s">
        <v>626</v>
      </c>
      <c r="D147" s="2" t="s">
        <v>18</v>
      </c>
      <c r="E147" s="2" t="s">
        <v>411</v>
      </c>
      <c r="F147" s="9" t="s">
        <v>134</v>
      </c>
      <c r="G147" s="2" t="n">
        <v>4</v>
      </c>
      <c r="H147" s="2" t="s">
        <v>566</v>
      </c>
      <c r="I147" s="2" t="n">
        <v>3</v>
      </c>
      <c r="J147" s="2" t="s">
        <v>172</v>
      </c>
      <c r="K147" s="2" t="s">
        <v>22</v>
      </c>
      <c r="L147" s="2" t="s">
        <v>627</v>
      </c>
      <c r="M147" s="2" t="s">
        <v>628</v>
      </c>
      <c r="N147" s="2" t="s">
        <v>629</v>
      </c>
      <c r="O147" s="2"/>
      <c r="P147" s="2"/>
    </row>
    <row r="148" customFormat="false" ht="23.85" hidden="false" customHeight="false" outlineLevel="0" collapsed="false">
      <c r="A148" s="2" t="n">
        <v>147</v>
      </c>
      <c r="B148" s="5" t="s">
        <v>27</v>
      </c>
      <c r="C148" s="2" t="s">
        <v>630</v>
      </c>
      <c r="D148" s="2" t="s">
        <v>18</v>
      </c>
      <c r="E148" s="2" t="s">
        <v>467</v>
      </c>
      <c r="F148" s="7" t="s">
        <v>50</v>
      </c>
      <c r="G148" s="2" t="n">
        <v>4</v>
      </c>
      <c r="H148" s="2" t="s">
        <v>566</v>
      </c>
      <c r="I148" s="2" t="n">
        <v>3</v>
      </c>
      <c r="J148" s="2" t="s">
        <v>172</v>
      </c>
      <c r="K148" s="2" t="s">
        <v>22</v>
      </c>
      <c r="L148" s="2" t="s">
        <v>631</v>
      </c>
      <c r="M148" s="2" t="s">
        <v>632</v>
      </c>
      <c r="N148" s="2" t="s">
        <v>633</v>
      </c>
      <c r="O148" s="2"/>
      <c r="P148" s="2"/>
    </row>
    <row r="149" customFormat="false" ht="23.85" hidden="false" customHeight="false" outlineLevel="0" collapsed="false">
      <c r="A149" s="2" t="n">
        <v>148</v>
      </c>
      <c r="B149" s="5" t="s">
        <v>27</v>
      </c>
      <c r="C149" s="2" t="s">
        <v>634</v>
      </c>
      <c r="D149" s="2" t="s">
        <v>18</v>
      </c>
      <c r="E149" s="2" t="s">
        <v>488</v>
      </c>
      <c r="F149" s="9" t="s">
        <v>134</v>
      </c>
      <c r="G149" s="2" t="n">
        <v>4</v>
      </c>
      <c r="H149" s="2" t="s">
        <v>566</v>
      </c>
      <c r="I149" s="2" t="n">
        <v>3</v>
      </c>
      <c r="J149" s="2" t="s">
        <v>172</v>
      </c>
      <c r="K149" s="2" t="s">
        <v>22</v>
      </c>
      <c r="L149" s="2" t="s">
        <v>635</v>
      </c>
      <c r="M149" s="2" t="s">
        <v>636</v>
      </c>
      <c r="N149" s="2" t="s">
        <v>637</v>
      </c>
      <c r="O149" s="2" t="s">
        <v>440</v>
      </c>
      <c r="P149" s="2"/>
    </row>
    <row r="150" customFormat="false" ht="23.85" hidden="false" customHeight="false" outlineLevel="0" collapsed="false">
      <c r="A150" s="2" t="n">
        <v>149</v>
      </c>
      <c r="B150" s="5" t="s">
        <v>27</v>
      </c>
      <c r="C150" s="2" t="s">
        <v>638</v>
      </c>
      <c r="D150" s="2" t="s">
        <v>18</v>
      </c>
      <c r="E150" s="2" t="s">
        <v>500</v>
      </c>
      <c r="F150" s="7" t="s">
        <v>50</v>
      </c>
      <c r="G150" s="2" t="n">
        <v>4</v>
      </c>
      <c r="H150" s="2" t="s">
        <v>566</v>
      </c>
      <c r="I150" s="2" t="n">
        <v>5</v>
      </c>
      <c r="J150" s="2" t="s">
        <v>172</v>
      </c>
      <c r="K150" s="2" t="s">
        <v>22</v>
      </c>
      <c r="L150" s="2" t="s">
        <v>639</v>
      </c>
      <c r="M150" s="2" t="s">
        <v>640</v>
      </c>
      <c r="N150" s="2" t="s">
        <v>641</v>
      </c>
      <c r="O150" s="2"/>
      <c r="P150" s="2"/>
    </row>
    <row r="151" customFormat="false" ht="35.05" hidden="false" customHeight="false" outlineLevel="0" collapsed="false">
      <c r="A151" s="2" t="n">
        <v>150</v>
      </c>
      <c r="B151" s="3" t="s">
        <v>16</v>
      </c>
      <c r="C151" s="2" t="s">
        <v>642</v>
      </c>
      <c r="D151" s="2" t="s">
        <v>18</v>
      </c>
      <c r="E151" s="2" t="s">
        <v>643</v>
      </c>
      <c r="F151" s="6" t="s">
        <v>45</v>
      </c>
      <c r="G151" s="2" t="n">
        <v>4</v>
      </c>
      <c r="H151" s="2" t="s">
        <v>566</v>
      </c>
      <c r="I151" s="2" t="n">
        <v>5</v>
      </c>
      <c r="J151" s="2" t="s">
        <v>172</v>
      </c>
      <c r="K151" s="2" t="s">
        <v>22</v>
      </c>
      <c r="L151" s="2" t="s">
        <v>644</v>
      </c>
      <c r="M151" s="2" t="s">
        <v>645</v>
      </c>
      <c r="N151" s="2" t="s">
        <v>646</v>
      </c>
      <c r="O151" s="2"/>
      <c r="P151" s="2" t="s">
        <v>647</v>
      </c>
    </row>
    <row r="152" customFormat="false" ht="23.85" hidden="false" customHeight="false" outlineLevel="0" collapsed="false">
      <c r="A152" s="2" t="n">
        <v>151</v>
      </c>
      <c r="B152" s="5" t="s">
        <v>27</v>
      </c>
      <c r="C152" s="2" t="s">
        <v>648</v>
      </c>
      <c r="D152" s="2" t="s">
        <v>18</v>
      </c>
      <c r="E152" s="2"/>
      <c r="F152" s="4" t="s">
        <v>19</v>
      </c>
      <c r="G152" s="2" t="n">
        <v>4</v>
      </c>
      <c r="H152" s="2" t="s">
        <v>566</v>
      </c>
      <c r="I152" s="2" t="n">
        <v>2</v>
      </c>
      <c r="J152" s="2" t="s">
        <v>561</v>
      </c>
      <c r="K152" s="2" t="s">
        <v>22</v>
      </c>
      <c r="L152" s="2" t="s">
        <v>649</v>
      </c>
      <c r="M152" s="2" t="s">
        <v>650</v>
      </c>
      <c r="N152" s="2" t="s">
        <v>651</v>
      </c>
      <c r="O152" s="2"/>
      <c r="P152" s="2"/>
    </row>
    <row r="154" customFormat="false" ht="15" hidden="false" customHeight="false" outlineLevel="0" collapsed="false">
      <c r="C154" s="14" t="s">
        <v>652</v>
      </c>
      <c r="I154" s="14" t="n">
        <f aca="false">SUM(I2:I152)</f>
        <v>581</v>
      </c>
    </row>
    <row r="155" customFormat="false" ht="15" hidden="false" customHeight="false" outlineLevel="0" collapsed="false">
      <c r="C155" s="15" t="s">
        <v>653</v>
      </c>
      <c r="I155" s="15" t="n">
        <f aca="false">SUMIF(F2:F152,"A - Estudio",I2:I152)</f>
        <v>222</v>
      </c>
    </row>
    <row r="156" customFormat="false" ht="15" hidden="false" customHeight="false" outlineLevel="0" collapsed="false">
      <c r="C156" s="15" t="s">
        <v>654</v>
      </c>
      <c r="I156" s="15" t="n">
        <f aca="false">SUMIF(F2:F152,"B - Universidad",I2:I152)</f>
        <v>214</v>
      </c>
    </row>
    <row r="157" customFormat="false" ht="15" hidden="false" customHeight="false" outlineLevel="0" collapsed="false">
      <c r="C157" s="16" t="s">
        <v>655</v>
      </c>
    </row>
  </sheetData>
  <autoFilter ref="A1:P1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30"/>
    <col collapsed="false" customWidth="true" hidden="false" outlineLevel="0" max="4" min="4" style="0" width="36"/>
  </cols>
  <sheetData>
    <row r="1" customFormat="false" ht="15" hidden="false" customHeight="false" outlineLevel="0" collapsed="false">
      <c r="A1" s="17" t="s">
        <v>656</v>
      </c>
      <c r="B1" s="17" t="s">
        <v>657</v>
      </c>
      <c r="C1" s="17" t="s">
        <v>658</v>
      </c>
      <c r="D1" s="17" t="s">
        <v>659</v>
      </c>
    </row>
    <row r="2" customFormat="false" ht="15" hidden="false" customHeight="false" outlineLevel="0" collapsed="false">
      <c r="A2" s="2" t="s">
        <v>660</v>
      </c>
      <c r="B2" s="2" t="s">
        <v>661</v>
      </c>
      <c r="C2" s="2" t="s">
        <v>662</v>
      </c>
      <c r="D2" s="2" t="s">
        <v>663</v>
      </c>
    </row>
    <row r="3" customFormat="false" ht="15" hidden="false" customHeight="false" outlineLevel="0" collapsed="false">
      <c r="A3" s="2" t="s">
        <v>664</v>
      </c>
      <c r="B3" s="2" t="s">
        <v>665</v>
      </c>
      <c r="C3" s="2" t="s">
        <v>666</v>
      </c>
      <c r="D3" s="2"/>
    </row>
    <row r="4" customFormat="false" ht="15" hidden="false" customHeight="false" outlineLevel="0" collapsed="false">
      <c r="A4" s="2" t="s">
        <v>667</v>
      </c>
      <c r="B4" s="2" t="s">
        <v>668</v>
      </c>
      <c r="C4" s="2" t="s">
        <v>669</v>
      </c>
      <c r="D4" s="2" t="s">
        <v>670</v>
      </c>
    </row>
    <row r="5" customFormat="false" ht="15" hidden="false" customHeight="false" outlineLevel="0" collapsed="false">
      <c r="A5" s="2" t="s">
        <v>671</v>
      </c>
      <c r="B5" s="2" t="s">
        <v>672</v>
      </c>
      <c r="C5" s="2" t="s">
        <v>673</v>
      </c>
      <c r="D5" s="2"/>
    </row>
    <row r="6" customFormat="false" ht="15" hidden="false" customHeight="false" outlineLevel="0" collapsed="false">
      <c r="A6" s="2" t="s">
        <v>674</v>
      </c>
      <c r="B6" s="2" t="s">
        <v>675</v>
      </c>
      <c r="C6" s="2" t="s">
        <v>676</v>
      </c>
      <c r="D6" s="2" t="s">
        <v>677</v>
      </c>
    </row>
    <row r="7" customFormat="false" ht="15" hidden="false" customHeight="false" outlineLevel="0" collapsed="false">
      <c r="A7" s="2" t="s">
        <v>678</v>
      </c>
      <c r="B7" s="2" t="s">
        <v>679</v>
      </c>
      <c r="C7" s="2" t="s">
        <v>680</v>
      </c>
      <c r="D7" s="2"/>
    </row>
    <row r="8" customFormat="false" ht="15" hidden="false" customHeight="false" outlineLevel="0" collapsed="false">
      <c r="A8" s="2" t="s">
        <v>681</v>
      </c>
      <c r="B8" s="2" t="s">
        <v>682</v>
      </c>
      <c r="C8" s="2" t="s">
        <v>683</v>
      </c>
      <c r="D8" s="2" t="s">
        <v>684</v>
      </c>
    </row>
    <row r="9" customFormat="false" ht="15" hidden="false" customHeight="false" outlineLevel="0" collapsed="false">
      <c r="A9" s="2" t="s">
        <v>685</v>
      </c>
      <c r="B9" s="2" t="s">
        <v>686</v>
      </c>
      <c r="C9" s="2" t="s">
        <v>687</v>
      </c>
      <c r="D9" s="2" t="s">
        <v>688</v>
      </c>
    </row>
    <row r="10" customFormat="false" ht="15" hidden="false" customHeight="false" outlineLevel="0" collapsed="false">
      <c r="A10" s="2" t="s">
        <v>689</v>
      </c>
      <c r="B10" s="2" t="s">
        <v>690</v>
      </c>
      <c r="C10" s="2" t="s">
        <v>691</v>
      </c>
      <c r="D10" s="2"/>
    </row>
    <row r="11" customFormat="false" ht="15" hidden="false" customHeight="false" outlineLevel="0" collapsed="false">
      <c r="A11" s="2" t="s">
        <v>692</v>
      </c>
      <c r="B11" s="2" t="s">
        <v>693</v>
      </c>
      <c r="C11" s="2" t="s">
        <v>694</v>
      </c>
      <c r="D11" s="2" t="s">
        <v>695</v>
      </c>
    </row>
    <row r="12" customFormat="false" ht="15" hidden="false" customHeight="false" outlineLevel="0" collapsed="false">
      <c r="A12" s="2" t="s">
        <v>696</v>
      </c>
      <c r="B12" s="2" t="s">
        <v>697</v>
      </c>
      <c r="C12" s="2" t="s">
        <v>698</v>
      </c>
      <c r="D12" s="2" t="s">
        <v>699</v>
      </c>
    </row>
    <row r="13" customFormat="false" ht="23.85" hidden="false" customHeight="false" outlineLevel="0" collapsed="false">
      <c r="A13" s="2" t="s">
        <v>700</v>
      </c>
      <c r="B13" s="2" t="s">
        <v>701</v>
      </c>
      <c r="C13" s="2" t="s">
        <v>702</v>
      </c>
      <c r="D13" s="2" t="s">
        <v>703</v>
      </c>
    </row>
    <row r="14" customFormat="false" ht="15" hidden="false" customHeight="false" outlineLevel="0" collapsed="false">
      <c r="A14" s="2" t="s">
        <v>704</v>
      </c>
      <c r="B14" s="2" t="s">
        <v>705</v>
      </c>
      <c r="C14" s="2" t="s">
        <v>706</v>
      </c>
      <c r="D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60"/>
    <col collapsed="false" customWidth="true" hidden="false" outlineLevel="0" max="6" min="6" style="0" width="80"/>
    <col collapsed="false" customWidth="true" hidden="false" outlineLevel="0" max="7" min="7" style="0" width="11"/>
  </cols>
  <sheetData>
    <row r="1" customFormat="false" ht="15" hidden="false" customHeight="false" outlineLevel="0" collapsed="false">
      <c r="A1" s="17" t="s">
        <v>707</v>
      </c>
      <c r="B1" s="17" t="s">
        <v>708</v>
      </c>
      <c r="C1" s="17" t="s">
        <v>709</v>
      </c>
      <c r="D1" s="17" t="s">
        <v>710</v>
      </c>
      <c r="E1" s="17" t="s">
        <v>711</v>
      </c>
      <c r="F1" s="17" t="s">
        <v>712</v>
      </c>
      <c r="G1" s="17" t="s">
        <v>713</v>
      </c>
    </row>
    <row r="2" customFormat="false" ht="23.85" hidden="false" customHeight="false" outlineLevel="0" collapsed="false">
      <c r="A2" s="2" t="s">
        <v>26</v>
      </c>
      <c r="B2" s="2" t="s">
        <v>714</v>
      </c>
      <c r="C2" s="2" t="s">
        <v>715</v>
      </c>
      <c r="D2" s="3" t="s">
        <v>16</v>
      </c>
      <c r="E2" s="2" t="s">
        <v>17</v>
      </c>
      <c r="F2" s="2" t="s">
        <v>716</v>
      </c>
      <c r="G2" s="2" t="s">
        <v>717</v>
      </c>
    </row>
    <row r="3" customFormat="false" ht="15" hidden="false" customHeight="false" outlineLevel="0" collapsed="false">
      <c r="A3" s="2" t="s">
        <v>181</v>
      </c>
      <c r="B3" s="2" t="s">
        <v>718</v>
      </c>
      <c r="C3" s="2" t="s">
        <v>719</v>
      </c>
      <c r="D3" s="2" t="s">
        <v>54</v>
      </c>
      <c r="E3" s="2" t="s">
        <v>176</v>
      </c>
      <c r="F3" s="2" t="s">
        <v>720</v>
      </c>
      <c r="G3" s="2" t="s">
        <v>721</v>
      </c>
    </row>
    <row r="4" customFormat="false" ht="15" hidden="false" customHeight="false" outlineLevel="0" collapsed="false">
      <c r="A4" s="2" t="s">
        <v>722</v>
      </c>
      <c r="B4" s="2" t="s">
        <v>723</v>
      </c>
      <c r="C4" s="2" t="s">
        <v>724</v>
      </c>
      <c r="D4" s="18" t="s">
        <v>725</v>
      </c>
      <c r="E4" s="2"/>
      <c r="F4" s="2" t="s">
        <v>726</v>
      </c>
      <c r="G4" s="2"/>
    </row>
    <row r="5" customFormat="false" ht="23.85" hidden="false" customHeight="false" outlineLevel="0" collapsed="false">
      <c r="A5" s="2" t="s">
        <v>60</v>
      </c>
      <c r="B5" s="2" t="s">
        <v>727</v>
      </c>
      <c r="C5" s="2" t="s">
        <v>728</v>
      </c>
      <c r="D5" s="2" t="s">
        <v>54</v>
      </c>
      <c r="E5" s="2" t="s">
        <v>729</v>
      </c>
      <c r="F5" s="2" t="s">
        <v>730</v>
      </c>
      <c r="G5" s="2" t="s">
        <v>731</v>
      </c>
    </row>
    <row r="6" customFormat="false" ht="15" hidden="false" customHeight="false" outlineLevel="0" collapsed="false">
      <c r="A6" s="2" t="s">
        <v>732</v>
      </c>
      <c r="B6" s="2" t="s">
        <v>733</v>
      </c>
      <c r="C6" s="2" t="s">
        <v>734</v>
      </c>
      <c r="D6" s="18" t="s">
        <v>725</v>
      </c>
      <c r="E6" s="2"/>
      <c r="F6" s="2" t="s">
        <v>735</v>
      </c>
      <c r="G6" s="2"/>
    </row>
    <row r="7" customFormat="false" ht="15" hidden="false" customHeight="false" outlineLevel="0" collapsed="false">
      <c r="A7" s="2" t="s">
        <v>63</v>
      </c>
      <c r="B7" s="2" t="s">
        <v>736</v>
      </c>
      <c r="C7" s="2" t="s">
        <v>728</v>
      </c>
      <c r="D7" s="2" t="s">
        <v>54</v>
      </c>
      <c r="E7" s="2" t="s">
        <v>737</v>
      </c>
      <c r="F7" s="2" t="s">
        <v>738</v>
      </c>
      <c r="G7" s="2" t="s">
        <v>739</v>
      </c>
    </row>
    <row r="8" customFormat="false" ht="15" hidden="false" customHeight="false" outlineLevel="0" collapsed="false">
      <c r="A8" s="2" t="s">
        <v>66</v>
      </c>
      <c r="B8" s="2" t="s">
        <v>740</v>
      </c>
      <c r="C8" s="2" t="s">
        <v>728</v>
      </c>
      <c r="D8" s="2" t="s">
        <v>54</v>
      </c>
      <c r="E8" s="2" t="s">
        <v>741</v>
      </c>
      <c r="F8" s="2" t="s">
        <v>738</v>
      </c>
      <c r="G8" s="2" t="s">
        <v>742</v>
      </c>
    </row>
    <row r="9" customFormat="false" ht="15" hidden="false" customHeight="false" outlineLevel="0" collapsed="false">
      <c r="A9" s="2" t="s">
        <v>70</v>
      </c>
      <c r="B9" s="2" t="s">
        <v>743</v>
      </c>
      <c r="C9" s="2" t="s">
        <v>728</v>
      </c>
      <c r="D9" s="2" t="s">
        <v>54</v>
      </c>
      <c r="E9" s="2" t="s">
        <v>744</v>
      </c>
      <c r="F9" s="2" t="s">
        <v>745</v>
      </c>
      <c r="G9" s="2" t="s">
        <v>746</v>
      </c>
    </row>
    <row r="10" customFormat="false" ht="15" hidden="false" customHeight="false" outlineLevel="0" collapsed="false">
      <c r="A10" s="2" t="s">
        <v>74</v>
      </c>
      <c r="B10" s="2" t="s">
        <v>747</v>
      </c>
      <c r="C10" s="2" t="s">
        <v>728</v>
      </c>
      <c r="D10" s="2" t="s">
        <v>54</v>
      </c>
      <c r="E10" s="2" t="s">
        <v>748</v>
      </c>
      <c r="F10" s="2" t="s">
        <v>738</v>
      </c>
      <c r="G10" s="2" t="s">
        <v>749</v>
      </c>
    </row>
    <row r="11" customFormat="false" ht="15" hidden="false" customHeight="false" outlineLevel="0" collapsed="false">
      <c r="A11" s="2" t="s">
        <v>78</v>
      </c>
      <c r="B11" s="2" t="s">
        <v>750</v>
      </c>
      <c r="C11" s="2" t="s">
        <v>728</v>
      </c>
      <c r="D11" s="2" t="s">
        <v>54</v>
      </c>
      <c r="E11" s="2" t="s">
        <v>751</v>
      </c>
      <c r="F11" s="2" t="s">
        <v>738</v>
      </c>
      <c r="G11" s="2" t="s">
        <v>752</v>
      </c>
    </row>
    <row r="12" customFormat="false" ht="15" hidden="false" customHeight="false" outlineLevel="0" collapsed="false">
      <c r="A12" s="2" t="s">
        <v>82</v>
      </c>
      <c r="B12" s="2" t="s">
        <v>753</v>
      </c>
      <c r="C12" s="2" t="s">
        <v>728</v>
      </c>
      <c r="D12" s="2" t="s">
        <v>54</v>
      </c>
      <c r="E12" s="2" t="s">
        <v>754</v>
      </c>
      <c r="F12" s="2" t="s">
        <v>738</v>
      </c>
      <c r="G12" s="2" t="s">
        <v>755</v>
      </c>
    </row>
    <row r="13" customFormat="false" ht="15" hidden="false" customHeight="false" outlineLevel="0" collapsed="false">
      <c r="A13" s="2" t="s">
        <v>756</v>
      </c>
      <c r="B13" s="2" t="s">
        <v>757</v>
      </c>
      <c r="C13" s="2" t="s">
        <v>734</v>
      </c>
      <c r="D13" s="18" t="s">
        <v>725</v>
      </c>
      <c r="E13" s="2"/>
      <c r="F13" s="2" t="s">
        <v>758</v>
      </c>
      <c r="G13" s="2"/>
    </row>
    <row r="14" customFormat="false" ht="15" hidden="false" customHeight="false" outlineLevel="0" collapsed="false">
      <c r="A14" s="2" t="s">
        <v>759</v>
      </c>
      <c r="B14" s="2" t="s">
        <v>760</v>
      </c>
      <c r="C14" s="2" t="s">
        <v>724</v>
      </c>
      <c r="D14" s="18" t="s">
        <v>725</v>
      </c>
      <c r="E14" s="2"/>
      <c r="F14" s="2" t="s">
        <v>761</v>
      </c>
      <c r="G14" s="2"/>
    </row>
    <row r="15" customFormat="false" ht="15" hidden="false" customHeight="false" outlineLevel="0" collapsed="false">
      <c r="A15" s="2" t="s">
        <v>124</v>
      </c>
      <c r="B15" s="2" t="s">
        <v>762</v>
      </c>
      <c r="C15" s="2" t="s">
        <v>728</v>
      </c>
      <c r="D15" s="2" t="s">
        <v>54</v>
      </c>
      <c r="E15" s="2" t="s">
        <v>121</v>
      </c>
      <c r="F15" s="2" t="s">
        <v>763</v>
      </c>
      <c r="G15" s="2" t="s">
        <v>764</v>
      </c>
    </row>
    <row r="16" customFormat="false" ht="15" hidden="false" customHeight="false" outlineLevel="0" collapsed="false">
      <c r="A16" s="2" t="s">
        <v>85</v>
      </c>
      <c r="B16" s="2" t="s">
        <v>765</v>
      </c>
      <c r="C16" s="2" t="s">
        <v>728</v>
      </c>
      <c r="D16" s="2" t="s">
        <v>54</v>
      </c>
      <c r="E16" s="2" t="s">
        <v>766</v>
      </c>
      <c r="F16" s="2" t="s">
        <v>738</v>
      </c>
      <c r="G16" s="2" t="s">
        <v>767</v>
      </c>
    </row>
    <row r="17" customFormat="false" ht="15" hidden="false" customHeight="false" outlineLevel="0" collapsed="false">
      <c r="A17" s="2" t="s">
        <v>89</v>
      </c>
      <c r="B17" s="2" t="s">
        <v>768</v>
      </c>
      <c r="C17" s="2" t="s">
        <v>728</v>
      </c>
      <c r="D17" s="2" t="s">
        <v>54</v>
      </c>
      <c r="E17" s="2" t="s">
        <v>769</v>
      </c>
      <c r="F17" s="2" t="s">
        <v>770</v>
      </c>
      <c r="G17" s="2" t="s">
        <v>771</v>
      </c>
    </row>
    <row r="18" customFormat="false" ht="15" hidden="false" customHeight="false" outlineLevel="0" collapsed="false">
      <c r="A18" s="2" t="s">
        <v>92</v>
      </c>
      <c r="B18" s="2" t="s">
        <v>772</v>
      </c>
      <c r="C18" s="2" t="s">
        <v>728</v>
      </c>
      <c r="D18" s="2" t="s">
        <v>54</v>
      </c>
      <c r="E18" s="2" t="s">
        <v>90</v>
      </c>
      <c r="F18" s="2" t="s">
        <v>738</v>
      </c>
      <c r="G18" s="2" t="s">
        <v>773</v>
      </c>
    </row>
    <row r="19" customFormat="false" ht="15" hidden="false" customHeight="false" outlineLevel="0" collapsed="false">
      <c r="A19" s="2" t="s">
        <v>142</v>
      </c>
      <c r="B19" s="2" t="s">
        <v>774</v>
      </c>
      <c r="C19" s="2" t="s">
        <v>775</v>
      </c>
      <c r="D19" s="2" t="s">
        <v>54</v>
      </c>
      <c r="E19" s="2"/>
      <c r="F19" s="2" t="s">
        <v>776</v>
      </c>
      <c r="G19" s="2" t="s">
        <v>144</v>
      </c>
    </row>
    <row r="20" customFormat="false" ht="23.85" hidden="false" customHeight="false" outlineLevel="0" collapsed="false">
      <c r="A20" s="2" t="s">
        <v>382</v>
      </c>
      <c r="B20" s="2" t="s">
        <v>777</v>
      </c>
      <c r="C20" s="2" t="s">
        <v>778</v>
      </c>
      <c r="D20" s="2" t="s">
        <v>54</v>
      </c>
      <c r="E20" s="2"/>
      <c r="F20" s="2" t="s">
        <v>779</v>
      </c>
      <c r="G20" s="2" t="s">
        <v>384</v>
      </c>
    </row>
    <row r="21" customFormat="false" ht="15" hidden="false" customHeight="false" outlineLevel="0" collapsed="false">
      <c r="A21" s="2" t="s">
        <v>392</v>
      </c>
      <c r="B21" s="2" t="s">
        <v>780</v>
      </c>
      <c r="C21" s="2" t="s">
        <v>775</v>
      </c>
      <c r="D21" s="3" t="s">
        <v>16</v>
      </c>
      <c r="E21" s="2"/>
      <c r="F21" s="2" t="s">
        <v>781</v>
      </c>
      <c r="G21" s="2" t="s">
        <v>220</v>
      </c>
    </row>
    <row r="22" customFormat="false" ht="23.85" hidden="false" customHeight="false" outlineLevel="0" collapsed="false">
      <c r="A22" s="2" t="s">
        <v>230</v>
      </c>
      <c r="B22" s="2" t="s">
        <v>782</v>
      </c>
      <c r="C22" s="2" t="s">
        <v>775</v>
      </c>
      <c r="D22" s="2" t="s">
        <v>54</v>
      </c>
      <c r="E22" s="2"/>
      <c r="F22" s="2" t="s">
        <v>783</v>
      </c>
      <c r="G22" s="2" t="s">
        <v>232</v>
      </c>
    </row>
    <row r="23" customFormat="false" ht="15" hidden="false" customHeight="false" outlineLevel="0" collapsed="false">
      <c r="A23" s="2" t="s">
        <v>577</v>
      </c>
      <c r="B23" s="2" t="s">
        <v>784</v>
      </c>
      <c r="C23" s="2" t="s">
        <v>775</v>
      </c>
      <c r="D23" s="2" t="s">
        <v>54</v>
      </c>
      <c r="E23" s="2"/>
      <c r="F23" s="2" t="s">
        <v>785</v>
      </c>
      <c r="G23" s="2" t="s">
        <v>411</v>
      </c>
    </row>
    <row r="24" customFormat="false" ht="23.85" hidden="false" customHeight="false" outlineLevel="0" collapsed="false">
      <c r="A24" s="2" t="s">
        <v>148</v>
      </c>
      <c r="B24" s="2" t="s">
        <v>786</v>
      </c>
      <c r="C24" s="2" t="s">
        <v>787</v>
      </c>
      <c r="D24" s="2" t="s">
        <v>54</v>
      </c>
      <c r="E24" s="2" t="s">
        <v>143</v>
      </c>
      <c r="F24" s="2" t="s">
        <v>788</v>
      </c>
      <c r="G24" s="2" t="s">
        <v>789</v>
      </c>
    </row>
    <row r="25" customFormat="false" ht="23.85" hidden="false" customHeight="false" outlineLevel="0" collapsed="false">
      <c r="A25" s="2" t="s">
        <v>153</v>
      </c>
      <c r="B25" s="2" t="s">
        <v>790</v>
      </c>
      <c r="C25" s="2" t="s">
        <v>791</v>
      </c>
      <c r="D25" s="3" t="s">
        <v>16</v>
      </c>
      <c r="E25" s="2" t="s">
        <v>149</v>
      </c>
      <c r="F25" s="2" t="s">
        <v>792</v>
      </c>
      <c r="G25" s="2" t="s">
        <v>793</v>
      </c>
    </row>
    <row r="26" customFormat="false" ht="15" hidden="false" customHeight="false" outlineLevel="0" collapsed="false">
      <c r="A26" s="2" t="s">
        <v>158</v>
      </c>
      <c r="B26" s="2" t="s">
        <v>794</v>
      </c>
      <c r="C26" s="2" t="s">
        <v>775</v>
      </c>
      <c r="D26" s="3" t="s">
        <v>16</v>
      </c>
      <c r="E26" s="2" t="s">
        <v>154</v>
      </c>
      <c r="F26" s="2" t="s">
        <v>795</v>
      </c>
      <c r="G26" s="2" t="s">
        <v>796</v>
      </c>
    </row>
    <row r="27" customFormat="false" ht="15" hidden="false" customHeight="false" outlineLevel="0" collapsed="false">
      <c r="A27" s="2" t="s">
        <v>307</v>
      </c>
      <c r="B27" s="2" t="s">
        <v>797</v>
      </c>
      <c r="C27" s="2" t="s">
        <v>798</v>
      </c>
      <c r="D27" s="2" t="s">
        <v>54</v>
      </c>
      <c r="E27" s="2" t="s">
        <v>303</v>
      </c>
      <c r="F27" s="2" t="s">
        <v>799</v>
      </c>
      <c r="G27" s="2" t="s">
        <v>800</v>
      </c>
    </row>
    <row r="28" customFormat="false" ht="15" hidden="false" customHeight="false" outlineLevel="0" collapsed="false">
      <c r="A28" s="2" t="s">
        <v>647</v>
      </c>
      <c r="B28" s="2" t="s">
        <v>801</v>
      </c>
      <c r="C28" s="2" t="s">
        <v>728</v>
      </c>
      <c r="D28" s="3" t="s">
        <v>16</v>
      </c>
      <c r="E28" s="2" t="s">
        <v>642</v>
      </c>
      <c r="F28" s="2" t="s">
        <v>802</v>
      </c>
      <c r="G28" s="2" t="s">
        <v>690</v>
      </c>
    </row>
    <row r="29" customFormat="false" ht="15" hidden="false" customHeight="false" outlineLevel="0" collapsed="false">
      <c r="A29" s="2" t="s">
        <v>388</v>
      </c>
      <c r="B29" s="2" t="s">
        <v>803</v>
      </c>
      <c r="C29" s="2" t="s">
        <v>775</v>
      </c>
      <c r="D29" s="3" t="s">
        <v>16</v>
      </c>
      <c r="E29" s="2" t="s">
        <v>383</v>
      </c>
      <c r="F29" s="2" t="s">
        <v>804</v>
      </c>
      <c r="G29" s="2" t="s">
        <v>805</v>
      </c>
    </row>
    <row r="30" customFormat="false" ht="23.85" hidden="false" customHeight="false" outlineLevel="0" collapsed="false">
      <c r="A30" s="2" t="s">
        <v>605</v>
      </c>
      <c r="B30" s="2" t="s">
        <v>806</v>
      </c>
      <c r="C30" s="2" t="s">
        <v>807</v>
      </c>
      <c r="D30" s="3" t="s">
        <v>16</v>
      </c>
      <c r="E30" s="2" t="s">
        <v>601</v>
      </c>
      <c r="F30" s="2" t="s">
        <v>808</v>
      </c>
      <c r="G30" s="2" t="s">
        <v>643</v>
      </c>
    </row>
    <row r="31" customFormat="false" ht="15" hidden="false" customHeight="false" outlineLevel="0" collapsed="false">
      <c r="A31" s="2" t="s">
        <v>582</v>
      </c>
      <c r="B31" s="2" t="s">
        <v>809</v>
      </c>
      <c r="C31" s="2" t="s">
        <v>775</v>
      </c>
      <c r="D31" s="2" t="s">
        <v>54</v>
      </c>
      <c r="E31" s="2"/>
      <c r="F31" s="2" t="s">
        <v>810</v>
      </c>
      <c r="G31" s="2" t="s">
        <v>811</v>
      </c>
    </row>
    <row r="32" customFormat="false" ht="15" hidden="false" customHeight="false" outlineLevel="0" collapsed="false">
      <c r="A32" s="2" t="s">
        <v>587</v>
      </c>
      <c r="B32" s="2" t="s">
        <v>812</v>
      </c>
      <c r="C32" s="2" t="s">
        <v>775</v>
      </c>
      <c r="D32" s="2" t="s">
        <v>54</v>
      </c>
      <c r="E32" s="2"/>
      <c r="F32" s="2" t="s">
        <v>813</v>
      </c>
      <c r="G32" s="2" t="s">
        <v>814</v>
      </c>
    </row>
    <row r="33" customFormat="false" ht="15" hidden="false" customHeight="false" outlineLevel="0" collapsed="false">
      <c r="A33" s="2" t="s">
        <v>323</v>
      </c>
      <c r="B33" s="2" t="s">
        <v>815</v>
      </c>
      <c r="C33" s="2" t="s">
        <v>775</v>
      </c>
      <c r="D33" s="2" t="s">
        <v>54</v>
      </c>
      <c r="E33" s="2" t="s">
        <v>320</v>
      </c>
      <c r="F33" s="2" t="s">
        <v>816</v>
      </c>
      <c r="G33" s="2" t="s">
        <v>325</v>
      </c>
    </row>
    <row r="34" customFormat="false" ht="15" hidden="false" customHeight="false" outlineLevel="0" collapsed="false">
      <c r="A34" s="2" t="s">
        <v>329</v>
      </c>
      <c r="B34" s="2" t="s">
        <v>817</v>
      </c>
      <c r="C34" s="2" t="s">
        <v>728</v>
      </c>
      <c r="D34" s="2" t="s">
        <v>54</v>
      </c>
      <c r="E34" s="2" t="s">
        <v>324</v>
      </c>
      <c r="F34" s="2" t="s">
        <v>818</v>
      </c>
      <c r="G34" s="2" t="s">
        <v>819</v>
      </c>
    </row>
    <row r="35" customFormat="false" ht="15" hidden="false" customHeight="false" outlineLevel="0" collapsed="false">
      <c r="A35" s="2" t="s">
        <v>334</v>
      </c>
      <c r="B35" s="2" t="s">
        <v>820</v>
      </c>
      <c r="C35" s="2" t="s">
        <v>728</v>
      </c>
      <c r="D35" s="2" t="s">
        <v>54</v>
      </c>
      <c r="E35" s="2" t="s">
        <v>330</v>
      </c>
      <c r="F35" s="2" t="s">
        <v>821</v>
      </c>
      <c r="G35" s="2" t="s">
        <v>822</v>
      </c>
    </row>
    <row r="36" customFormat="false" ht="15" hidden="false" customHeight="false" outlineLevel="0" collapsed="false">
      <c r="A36" s="2" t="s">
        <v>340</v>
      </c>
      <c r="B36" s="2" t="s">
        <v>823</v>
      </c>
      <c r="C36" s="2" t="s">
        <v>728</v>
      </c>
      <c r="D36" s="2" t="s">
        <v>54</v>
      </c>
      <c r="E36" s="2" t="s">
        <v>335</v>
      </c>
      <c r="F36" s="2" t="s">
        <v>824</v>
      </c>
      <c r="G36" s="2" t="s">
        <v>825</v>
      </c>
    </row>
    <row r="37" customFormat="false" ht="15" hidden="false" customHeight="false" outlineLevel="0" collapsed="false">
      <c r="A37" s="2" t="s">
        <v>239</v>
      </c>
      <c r="B37" s="2" t="s">
        <v>826</v>
      </c>
      <c r="C37" s="2" t="s">
        <v>775</v>
      </c>
      <c r="D37" s="2" t="s">
        <v>54</v>
      </c>
      <c r="E37" s="2"/>
      <c r="F37" s="2" t="s">
        <v>827</v>
      </c>
      <c r="G37" s="2" t="s">
        <v>242</v>
      </c>
    </row>
    <row r="38" customFormat="false" ht="15" hidden="false" customHeight="false" outlineLevel="0" collapsed="false">
      <c r="A38" s="2" t="s">
        <v>260</v>
      </c>
      <c r="B38" s="2" t="s">
        <v>828</v>
      </c>
      <c r="C38" s="2" t="s">
        <v>775</v>
      </c>
      <c r="D38" s="2" t="s">
        <v>54</v>
      </c>
      <c r="E38" s="2"/>
      <c r="F38" s="2" t="s">
        <v>829</v>
      </c>
      <c r="G38" s="2" t="s">
        <v>262</v>
      </c>
    </row>
    <row r="39" customFormat="false" ht="15" hidden="false" customHeight="false" outlineLevel="0" collapsed="false">
      <c r="A39" s="2" t="s">
        <v>349</v>
      </c>
      <c r="B39" s="2" t="s">
        <v>830</v>
      </c>
      <c r="C39" s="2" t="s">
        <v>775</v>
      </c>
      <c r="D39" s="2" t="s">
        <v>54</v>
      </c>
      <c r="E39" s="2" t="s">
        <v>346</v>
      </c>
      <c r="F39" s="2" t="s">
        <v>831</v>
      </c>
      <c r="G39" s="2" t="s">
        <v>351</v>
      </c>
    </row>
    <row r="40" customFormat="false" ht="15" hidden="false" customHeight="false" outlineLevel="0" collapsed="false">
      <c r="A40" s="2" t="s">
        <v>246</v>
      </c>
      <c r="B40" s="2" t="s">
        <v>832</v>
      </c>
      <c r="C40" s="2" t="s">
        <v>728</v>
      </c>
      <c r="D40" s="2" t="s">
        <v>54</v>
      </c>
      <c r="E40" s="2" t="s">
        <v>240</v>
      </c>
      <c r="F40" s="2" t="s">
        <v>833</v>
      </c>
      <c r="G40" s="2" t="s">
        <v>834</v>
      </c>
    </row>
    <row r="41" customFormat="false" ht="15" hidden="false" customHeight="false" outlineLevel="0" collapsed="false">
      <c r="A41" s="2" t="s">
        <v>251</v>
      </c>
      <c r="B41" s="2" t="s">
        <v>835</v>
      </c>
      <c r="C41" s="2" t="s">
        <v>728</v>
      </c>
      <c r="D41" s="2" t="s">
        <v>54</v>
      </c>
      <c r="E41" s="2" t="s">
        <v>247</v>
      </c>
      <c r="F41" s="2" t="s">
        <v>836</v>
      </c>
      <c r="G41" s="2" t="s">
        <v>837</v>
      </c>
    </row>
    <row r="42" customFormat="false" ht="15" hidden="false" customHeight="false" outlineLevel="0" collapsed="false">
      <c r="A42" s="2" t="s">
        <v>427</v>
      </c>
      <c r="B42" s="2" t="s">
        <v>838</v>
      </c>
      <c r="C42" s="2" t="s">
        <v>728</v>
      </c>
      <c r="D42" s="2" t="s">
        <v>54</v>
      </c>
      <c r="E42" s="2" t="s">
        <v>423</v>
      </c>
      <c r="F42" s="2" t="s">
        <v>839</v>
      </c>
      <c r="G42" s="2" t="s">
        <v>840</v>
      </c>
    </row>
    <row r="43" customFormat="false" ht="15" hidden="false" customHeight="false" outlineLevel="0" collapsed="false">
      <c r="A43" s="2" t="s">
        <v>345</v>
      </c>
      <c r="B43" s="2" t="s">
        <v>841</v>
      </c>
      <c r="C43" s="2" t="s">
        <v>728</v>
      </c>
      <c r="D43" s="2" t="s">
        <v>54</v>
      </c>
      <c r="E43" s="2" t="s">
        <v>341</v>
      </c>
      <c r="F43" s="2" t="s">
        <v>842</v>
      </c>
      <c r="G43" s="2" t="s">
        <v>843</v>
      </c>
    </row>
    <row r="44" customFormat="false" ht="15" hidden="false" customHeight="false" outlineLevel="0" collapsed="false">
      <c r="A44" s="2" t="s">
        <v>432</v>
      </c>
      <c r="B44" s="2" t="s">
        <v>844</v>
      </c>
      <c r="C44" s="2" t="s">
        <v>728</v>
      </c>
      <c r="D44" s="2" t="s">
        <v>54</v>
      </c>
      <c r="E44" s="2" t="s">
        <v>428</v>
      </c>
      <c r="F44" s="2" t="s">
        <v>845</v>
      </c>
      <c r="G44" s="2" t="s">
        <v>846</v>
      </c>
    </row>
  </sheetData>
  <autoFilter ref="A1:G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2"/>
    <col collapsed="false" customWidth="true" hidden="false" outlineLevel="0" max="3" min="3" style="0" width="26"/>
    <col collapsed="false" customWidth="true" hidden="false" outlineLevel="0" max="4" min="4" style="0" width="66"/>
    <col collapsed="false" customWidth="true" hidden="false" outlineLevel="0" max="5" min="5" style="0" width="10"/>
    <col collapsed="false" customWidth="true" hidden="false" outlineLevel="0" max="6" min="6" style="0" width="48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9" t="s">
        <v>847</v>
      </c>
    </row>
    <row r="2" customFormat="false" ht="23.85" hidden="false" customHeight="false" outlineLevel="0" collapsed="false">
      <c r="A2" s="1" t="s">
        <v>848</v>
      </c>
      <c r="B2" s="1" t="s">
        <v>849</v>
      </c>
      <c r="C2" s="1" t="s">
        <v>850</v>
      </c>
      <c r="D2" s="1" t="s">
        <v>851</v>
      </c>
      <c r="E2" s="1" t="s">
        <v>852</v>
      </c>
      <c r="F2" s="1" t="s">
        <v>853</v>
      </c>
      <c r="G2" s="1" t="s">
        <v>854</v>
      </c>
    </row>
    <row r="3" customFormat="false" ht="23.85" hidden="false" customHeight="false" outlineLevel="0" collapsed="false">
      <c r="A3" s="2" t="s">
        <v>59</v>
      </c>
      <c r="B3" s="2" t="s">
        <v>855</v>
      </c>
      <c r="C3" s="2" t="s">
        <v>856</v>
      </c>
      <c r="D3" s="2" t="s">
        <v>857</v>
      </c>
      <c r="E3" s="2" t="n">
        <v>20</v>
      </c>
      <c r="F3" s="2" t="s">
        <v>858</v>
      </c>
      <c r="G3" s="2" t="s">
        <v>859</v>
      </c>
    </row>
    <row r="4" customFormat="false" ht="23.85" hidden="false" customHeight="false" outlineLevel="0" collapsed="false">
      <c r="A4" s="2" t="s">
        <v>73</v>
      </c>
      <c r="B4" s="2" t="s">
        <v>860</v>
      </c>
      <c r="C4" s="2" t="s">
        <v>861</v>
      </c>
      <c r="D4" s="2" t="s">
        <v>862</v>
      </c>
      <c r="E4" s="2" t="n">
        <v>15</v>
      </c>
      <c r="F4" s="2" t="s">
        <v>863</v>
      </c>
      <c r="G4" s="2" t="s">
        <v>864</v>
      </c>
    </row>
    <row r="5" customFormat="false" ht="23.85" hidden="false" customHeight="false" outlineLevel="0" collapsed="false">
      <c r="A5" s="2" t="s">
        <v>77</v>
      </c>
      <c r="B5" s="2" t="s">
        <v>865</v>
      </c>
      <c r="C5" s="2" t="s">
        <v>866</v>
      </c>
      <c r="D5" s="2" t="s">
        <v>867</v>
      </c>
      <c r="E5" s="2" t="n">
        <v>15</v>
      </c>
      <c r="F5" s="2" t="s">
        <v>868</v>
      </c>
      <c r="G5" s="2" t="s">
        <v>859</v>
      </c>
    </row>
    <row r="6" customFormat="false" ht="23.85" hidden="false" customHeight="false" outlineLevel="0" collapsed="false">
      <c r="A6" s="2" t="s">
        <v>81</v>
      </c>
      <c r="B6" s="2" t="s">
        <v>869</v>
      </c>
      <c r="C6" s="2" t="s">
        <v>870</v>
      </c>
      <c r="D6" s="2" t="s">
        <v>871</v>
      </c>
      <c r="E6" s="2" t="n">
        <v>10</v>
      </c>
      <c r="F6" s="2" t="s">
        <v>872</v>
      </c>
      <c r="G6" s="2" t="s">
        <v>864</v>
      </c>
    </row>
    <row r="7" customFormat="false" ht="15" hidden="false" customHeight="false" outlineLevel="0" collapsed="false">
      <c r="A7" s="2" t="s">
        <v>69</v>
      </c>
      <c r="B7" s="2" t="s">
        <v>873</v>
      </c>
      <c r="C7" s="2" t="s">
        <v>874</v>
      </c>
      <c r="D7" s="2" t="s">
        <v>875</v>
      </c>
      <c r="E7" s="2" t="n">
        <v>10</v>
      </c>
      <c r="F7" s="2" t="s">
        <v>876</v>
      </c>
      <c r="G7" s="2" t="s">
        <v>864</v>
      </c>
    </row>
    <row r="8" customFormat="false" ht="23.85" hidden="false" customHeight="false" outlineLevel="0" collapsed="false">
      <c r="A8" s="2" t="s">
        <v>88</v>
      </c>
      <c r="B8" s="2" t="s">
        <v>877</v>
      </c>
      <c r="C8" s="2" t="s">
        <v>878</v>
      </c>
      <c r="D8" s="2" t="s">
        <v>879</v>
      </c>
      <c r="E8" s="2" t="n">
        <v>8</v>
      </c>
      <c r="F8" s="2" t="s">
        <v>880</v>
      </c>
      <c r="G8" s="2" t="s">
        <v>859</v>
      </c>
    </row>
    <row r="9" customFormat="false" ht="15" hidden="false" customHeight="false" outlineLevel="0" collapsed="false">
      <c r="A9" s="2" t="s">
        <v>483</v>
      </c>
      <c r="B9" s="2" t="s">
        <v>881</v>
      </c>
      <c r="C9" s="2" t="s">
        <v>882</v>
      </c>
      <c r="D9" s="2" t="s">
        <v>883</v>
      </c>
      <c r="E9" s="2" t="n">
        <v>7</v>
      </c>
      <c r="F9" s="2" t="s">
        <v>884</v>
      </c>
      <c r="G9" s="2" t="s">
        <v>859</v>
      </c>
    </row>
    <row r="10" customFormat="false" ht="15" hidden="false" customHeight="false" outlineLevel="0" collapsed="false">
      <c r="A10" s="2" t="s">
        <v>339</v>
      </c>
      <c r="B10" s="2" t="s">
        <v>885</v>
      </c>
      <c r="C10" s="2" t="s">
        <v>886</v>
      </c>
      <c r="D10" s="2" t="s">
        <v>887</v>
      </c>
      <c r="E10" s="2" t="n">
        <v>5</v>
      </c>
      <c r="F10" s="2" t="s">
        <v>888</v>
      </c>
      <c r="G10" s="2" t="s">
        <v>859</v>
      </c>
    </row>
    <row r="11" customFormat="false" ht="15" hidden="false" customHeight="false" outlineLevel="0" collapsed="false">
      <c r="A11" s="2" t="s">
        <v>889</v>
      </c>
      <c r="B11" s="2" t="s">
        <v>890</v>
      </c>
      <c r="C11" s="2" t="s">
        <v>891</v>
      </c>
      <c r="D11" s="2" t="s">
        <v>892</v>
      </c>
      <c r="E11" s="2" t="n">
        <v>5</v>
      </c>
      <c r="F11" s="2" t="s">
        <v>893</v>
      </c>
      <c r="G11" s="2" t="s">
        <v>864</v>
      </c>
    </row>
    <row r="12" customFormat="false" ht="15" hidden="false" customHeight="false" outlineLevel="0" collapsed="false">
      <c r="A12" s="2" t="s">
        <v>894</v>
      </c>
      <c r="B12" s="2" t="s">
        <v>895</v>
      </c>
      <c r="C12" s="2" t="s">
        <v>896</v>
      </c>
      <c r="D12" s="2" t="s">
        <v>897</v>
      </c>
      <c r="E12" s="2" t="n">
        <v>5</v>
      </c>
      <c r="F12" s="2" t="s">
        <v>898</v>
      </c>
      <c r="G12" s="2" t="s">
        <v>859</v>
      </c>
    </row>
    <row r="13" customFormat="false" ht="15" hidden="false" customHeight="false" outlineLevel="0" collapsed="false">
      <c r="B13" s="14" t="s">
        <v>899</v>
      </c>
      <c r="E13" s="14" t="n">
        <f aca="false">SUM(E3:E12)</f>
        <v>100</v>
      </c>
    </row>
    <row r="16" customFormat="false" ht="15" hidden="false" customHeight="false" outlineLevel="0" collapsed="false">
      <c r="A16" s="19" t="s">
        <v>900</v>
      </c>
    </row>
    <row r="17" customFormat="false" ht="23.85" hidden="false" customHeight="false" outlineLevel="0" collapsed="false">
      <c r="A17" s="1" t="s">
        <v>848</v>
      </c>
      <c r="B17" s="1" t="s">
        <v>849</v>
      </c>
      <c r="C17" s="1" t="s">
        <v>850</v>
      </c>
      <c r="D17" s="1" t="s">
        <v>851</v>
      </c>
      <c r="E17" s="1" t="s">
        <v>852</v>
      </c>
      <c r="F17" s="1" t="s">
        <v>853</v>
      </c>
      <c r="G17" s="1" t="s">
        <v>854</v>
      </c>
    </row>
    <row r="18" customFormat="false" ht="23.85" hidden="false" customHeight="false" outlineLevel="0" collapsed="false">
      <c r="A18" s="2" t="s">
        <v>118</v>
      </c>
      <c r="B18" s="2" t="s">
        <v>901</v>
      </c>
      <c r="C18" s="2" t="s">
        <v>902</v>
      </c>
      <c r="D18" s="2" t="s">
        <v>903</v>
      </c>
      <c r="E18" s="2" t="n">
        <v>20</v>
      </c>
      <c r="F18" s="2" t="s">
        <v>904</v>
      </c>
      <c r="G18" s="2" t="s">
        <v>859</v>
      </c>
    </row>
    <row r="19" customFormat="false" ht="15" hidden="false" customHeight="false" outlineLevel="0" collapsed="false">
      <c r="A19" s="2" t="s">
        <v>108</v>
      </c>
      <c r="B19" s="2" t="s">
        <v>905</v>
      </c>
      <c r="C19" s="2" t="s">
        <v>861</v>
      </c>
      <c r="D19" s="2" t="s">
        <v>906</v>
      </c>
      <c r="E19" s="2" t="n">
        <v>15</v>
      </c>
      <c r="F19" s="2" t="s">
        <v>907</v>
      </c>
      <c r="G19" s="2" t="s">
        <v>864</v>
      </c>
    </row>
    <row r="20" customFormat="false" ht="15" hidden="false" customHeight="false" outlineLevel="0" collapsed="false">
      <c r="A20" s="2" t="s">
        <v>105</v>
      </c>
      <c r="B20" s="2" t="s">
        <v>908</v>
      </c>
      <c r="C20" s="2" t="s">
        <v>874</v>
      </c>
      <c r="D20" s="2" t="s">
        <v>875</v>
      </c>
      <c r="E20" s="2" t="n">
        <v>15</v>
      </c>
      <c r="F20" s="2" t="s">
        <v>909</v>
      </c>
      <c r="G20" s="2" t="s">
        <v>864</v>
      </c>
    </row>
    <row r="21" customFormat="false" ht="23.85" hidden="false" customHeight="false" outlineLevel="0" collapsed="false">
      <c r="A21" s="2" t="s">
        <v>98</v>
      </c>
      <c r="B21" s="2" t="s">
        <v>910</v>
      </c>
      <c r="C21" s="2" t="s">
        <v>911</v>
      </c>
      <c r="D21" s="2" t="s">
        <v>912</v>
      </c>
      <c r="E21" s="2" t="n">
        <v>15</v>
      </c>
      <c r="F21" s="2" t="s">
        <v>913</v>
      </c>
      <c r="G21" s="2" t="s">
        <v>859</v>
      </c>
    </row>
    <row r="22" customFormat="false" ht="15" hidden="false" customHeight="false" outlineLevel="0" collapsed="false">
      <c r="A22" s="2" t="s">
        <v>256</v>
      </c>
      <c r="B22" s="2" t="s">
        <v>914</v>
      </c>
      <c r="C22" s="2" t="s">
        <v>915</v>
      </c>
      <c r="D22" s="2" t="s">
        <v>916</v>
      </c>
      <c r="E22" s="2" t="n">
        <v>10</v>
      </c>
      <c r="F22" s="2" t="s">
        <v>917</v>
      </c>
      <c r="G22" s="2" t="s">
        <v>859</v>
      </c>
    </row>
    <row r="23" customFormat="false" ht="15" hidden="false" customHeight="false" outlineLevel="0" collapsed="false">
      <c r="A23" s="2" t="s">
        <v>525</v>
      </c>
      <c r="B23" s="2" t="s">
        <v>918</v>
      </c>
      <c r="C23" s="2" t="s">
        <v>919</v>
      </c>
      <c r="D23" s="2" t="s">
        <v>920</v>
      </c>
      <c r="E23" s="2" t="n">
        <v>5</v>
      </c>
      <c r="F23" s="2" t="s">
        <v>921</v>
      </c>
      <c r="G23" s="2" t="s">
        <v>859</v>
      </c>
    </row>
    <row r="24" customFormat="false" ht="15" hidden="false" customHeight="false" outlineLevel="0" collapsed="false">
      <c r="A24" s="2" t="s">
        <v>922</v>
      </c>
      <c r="B24" s="2" t="s">
        <v>890</v>
      </c>
      <c r="C24" s="2" t="s">
        <v>891</v>
      </c>
      <c r="D24" s="2" t="s">
        <v>892</v>
      </c>
      <c r="E24" s="2" t="n">
        <v>5</v>
      </c>
      <c r="F24" s="2" t="s">
        <v>923</v>
      </c>
      <c r="G24" s="2" t="s">
        <v>864</v>
      </c>
    </row>
    <row r="25" customFormat="false" ht="15" hidden="false" customHeight="false" outlineLevel="0" collapsed="false">
      <c r="A25" s="2" t="s">
        <v>266</v>
      </c>
      <c r="B25" s="2" t="s">
        <v>924</v>
      </c>
      <c r="C25" s="2" t="s">
        <v>878</v>
      </c>
      <c r="D25" s="2" t="s">
        <v>925</v>
      </c>
      <c r="E25" s="2" t="n">
        <v>5</v>
      </c>
      <c r="F25" s="2" t="s">
        <v>926</v>
      </c>
      <c r="G25" s="2" t="s">
        <v>859</v>
      </c>
    </row>
    <row r="26" customFormat="false" ht="23.85" hidden="false" customHeight="false" outlineLevel="0" collapsed="false">
      <c r="A26" s="2" t="s">
        <v>113</v>
      </c>
      <c r="B26" s="2" t="s">
        <v>869</v>
      </c>
      <c r="C26" s="2" t="s">
        <v>870</v>
      </c>
      <c r="D26" s="2" t="s">
        <v>927</v>
      </c>
      <c r="E26" s="2" t="n">
        <v>5</v>
      </c>
      <c r="F26" s="2" t="s">
        <v>928</v>
      </c>
      <c r="G26" s="2" t="s">
        <v>864</v>
      </c>
    </row>
    <row r="27" customFormat="false" ht="15" hidden="false" customHeight="false" outlineLevel="0" collapsed="false">
      <c r="A27" s="2" t="s">
        <v>361</v>
      </c>
      <c r="B27" s="2" t="s">
        <v>929</v>
      </c>
      <c r="C27" s="2" t="s">
        <v>930</v>
      </c>
      <c r="D27" s="2" t="s">
        <v>931</v>
      </c>
      <c r="E27" s="2" t="n">
        <v>5</v>
      </c>
      <c r="F27" s="2" t="s">
        <v>932</v>
      </c>
      <c r="G27" s="2" t="s">
        <v>859</v>
      </c>
    </row>
    <row r="28" customFormat="false" ht="15" hidden="false" customHeight="false" outlineLevel="0" collapsed="false">
      <c r="B28" s="14" t="s">
        <v>899</v>
      </c>
      <c r="E28" s="14" t="n">
        <f aca="false">SUM(E18:E27)</f>
        <v>100</v>
      </c>
    </row>
    <row r="30" customFormat="false" ht="15" hidden="false" customHeight="false" outlineLevel="0" collapsed="false">
      <c r="A30" s="16" t="s">
        <v>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2026-10-11T00:48:21Z</dcterms:created>
  <dc:creator>openpyxl</dc:creator>
  <dc:description/>
  <dc:language>en-US</dc:language>
  <cp:lastModifiedBy/>
  <dcterms:modified xsi:type="dcterms:W3CDTF">2026-10-11T00:48:21Z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